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EDA_MIG_Template\"/>
    </mc:Choice>
  </mc:AlternateContent>
  <xr:revisionPtr revIDLastSave="0" documentId="13_ncr:1_{7935ABA1-3F73-4DBD-BEF7-210BA020C9D7}" xr6:coauthVersionLast="46" xr6:coauthVersionMax="46" xr10:uidLastSave="{00000000-0000-0000-0000-000000000000}"/>
  <bookViews>
    <workbookView xWindow="-120" yWindow="-120" windowWidth="29040" windowHeight="15840" activeTab="8" xr2:uid="{00000000-000D-0000-FFFF-FFFF00000000}"/>
  </bookViews>
  <sheets>
    <sheet name="Readme" sheetId="20" r:id="rId1"/>
    <sheet name="Gas-Min" sheetId="1" r:id="rId2"/>
    <sheet name="Coal-Min" sheetId="18" r:id="rId3"/>
    <sheet name="OilDST-Min" sheetId="5" r:id="rId4"/>
    <sheet name="Bio-MIN" sheetId="10" r:id="rId5"/>
    <sheet name="Oil-Min" sheetId="7" r:id="rId6"/>
    <sheet name="ELC-Ren" sheetId="13" r:id="rId7"/>
    <sheet name="NUC" sheetId="14" r:id="rId8"/>
    <sheet name="_IEMMSuppCurveShaping" sheetId="19" r:id="rId9"/>
  </sheets>
  <calcPr calcId="181029"/>
</workbook>
</file>

<file path=xl/calcChain.xml><?xml version="1.0" encoding="utf-8"?>
<calcChain xmlns="http://schemas.openxmlformats.org/spreadsheetml/2006/main">
  <c r="T12" i="1" l="1"/>
  <c r="G1" i="19"/>
  <c r="X28" i="14"/>
  <c r="X28" i="13"/>
  <c r="X28" i="7"/>
  <c r="X28" i="10"/>
  <c r="X28" i="5"/>
  <c r="X28" i="18"/>
  <c r="X28" i="1"/>
  <c r="D8" i="7"/>
  <c r="D11" i="18"/>
  <c r="V1" i="14"/>
  <c r="U1" i="14"/>
  <c r="F28" i="14" s="1"/>
  <c r="T1" i="14"/>
  <c r="V1" i="13"/>
  <c r="G28" i="13"/>
  <c r="U1" i="13"/>
  <c r="F28" i="13"/>
  <c r="T1" i="13"/>
  <c r="V1" i="7"/>
  <c r="G28" i="7" s="1"/>
  <c r="U1" i="7"/>
  <c r="T1" i="7"/>
  <c r="V1" i="10"/>
  <c r="U1" i="10"/>
  <c r="T1" i="10"/>
  <c r="E28" i="10" s="1"/>
  <c r="W28" i="10" s="1"/>
  <c r="V1" i="5"/>
  <c r="G28" i="5" s="1"/>
  <c r="U1" i="5"/>
  <c r="F28" i="5" s="1"/>
  <c r="T1" i="5"/>
  <c r="E28" i="5" s="1"/>
  <c r="W28" i="5" s="1"/>
  <c r="V1" i="18"/>
  <c r="G28" i="18" s="1"/>
  <c r="U1" i="18"/>
  <c r="T1" i="18"/>
  <c r="E28" i="1"/>
  <c r="W28" i="1"/>
  <c r="D8" i="10"/>
  <c r="U49" i="18"/>
  <c r="L49" i="18"/>
  <c r="C49" i="18"/>
  <c r="U48" i="18"/>
  <c r="L48" i="18"/>
  <c r="C48" i="18"/>
  <c r="B42" i="19" s="1"/>
  <c r="A42" i="19" s="1"/>
  <c r="U47" i="18"/>
  <c r="L47" i="18"/>
  <c r="C47" i="18"/>
  <c r="K47" i="18" s="1"/>
  <c r="S47" i="18" s="1"/>
  <c r="U46" i="18"/>
  <c r="L46" i="18"/>
  <c r="C46" i="18"/>
  <c r="B40" i="19" s="1"/>
  <c r="A40" i="19" s="1"/>
  <c r="U45" i="18"/>
  <c r="L45" i="18"/>
  <c r="C45" i="18"/>
  <c r="U44" i="18"/>
  <c r="L44" i="18"/>
  <c r="C44" i="18"/>
  <c r="B38" i="19"/>
  <c r="A38" i="19" s="1"/>
  <c r="U43" i="18"/>
  <c r="L43" i="18"/>
  <c r="C43" i="18"/>
  <c r="B37" i="19" s="1"/>
  <c r="A37" i="19" s="1"/>
  <c r="U42" i="18"/>
  <c r="L42" i="18"/>
  <c r="C42" i="18"/>
  <c r="B36" i="19" s="1"/>
  <c r="A36" i="19" s="1"/>
  <c r="U41" i="18"/>
  <c r="L41" i="18"/>
  <c r="C41" i="18"/>
  <c r="U40" i="18"/>
  <c r="L40" i="18"/>
  <c r="C40" i="18"/>
  <c r="B34" i="19" s="1"/>
  <c r="A34" i="19" s="1"/>
  <c r="U39" i="18"/>
  <c r="L39" i="18"/>
  <c r="C39" i="18"/>
  <c r="K39" i="18" s="1"/>
  <c r="S39" i="18" s="1"/>
  <c r="B33" i="19"/>
  <c r="A33" i="19" s="1"/>
  <c r="U38" i="18"/>
  <c r="L38" i="18"/>
  <c r="C38" i="18"/>
  <c r="U37" i="18"/>
  <c r="L37" i="18"/>
  <c r="C37" i="18"/>
  <c r="U36" i="18"/>
  <c r="L36" i="18"/>
  <c r="C36" i="18"/>
  <c r="B30" i="19"/>
  <c r="A30" i="19" s="1"/>
  <c r="U35" i="18"/>
  <c r="L35" i="18"/>
  <c r="C35" i="18"/>
  <c r="B29" i="19" s="1"/>
  <c r="A29" i="19" s="1"/>
  <c r="U34" i="18"/>
  <c r="L34" i="18"/>
  <c r="C34" i="18"/>
  <c r="B28" i="19" s="1"/>
  <c r="A28" i="19" s="1"/>
  <c r="U33" i="18"/>
  <c r="L33" i="18"/>
  <c r="C33" i="18"/>
  <c r="U32" i="18"/>
  <c r="L32" i="18"/>
  <c r="C32" i="18"/>
  <c r="B26" i="19" s="1"/>
  <c r="A26" i="19" s="1"/>
  <c r="U31" i="18"/>
  <c r="L31" i="18"/>
  <c r="C31" i="18"/>
  <c r="B25" i="19" s="1"/>
  <c r="A25" i="19" s="1"/>
  <c r="U30" i="18"/>
  <c r="L30" i="18"/>
  <c r="C30" i="18"/>
  <c r="B24" i="19" s="1"/>
  <c r="A24" i="19" s="1"/>
  <c r="U29" i="18"/>
  <c r="L29" i="18"/>
  <c r="C29" i="18"/>
  <c r="B23" i="19" s="1"/>
  <c r="A23" i="19" s="1"/>
  <c r="F28" i="18"/>
  <c r="R13" i="18"/>
  <c r="S12" i="18"/>
  <c r="AD10" i="18"/>
  <c r="AC10" i="18"/>
  <c r="AB10" i="18"/>
  <c r="AA10" i="18"/>
  <c r="R11" i="18"/>
  <c r="AL7" i="18"/>
  <c r="AL6" i="18"/>
  <c r="AL5" i="18"/>
  <c r="AC11" i="18" s="1"/>
  <c r="D14" i="7"/>
  <c r="AD10" i="7"/>
  <c r="AC10" i="7"/>
  <c r="AB10" i="7"/>
  <c r="AA10" i="7"/>
  <c r="AL7" i="7"/>
  <c r="AL6" i="7"/>
  <c r="AC12" i="7" s="1"/>
  <c r="AL5" i="7"/>
  <c r="AB11" i="7"/>
  <c r="S12" i="14"/>
  <c r="U49" i="14"/>
  <c r="L49" i="14"/>
  <c r="C49" i="14"/>
  <c r="U48" i="14"/>
  <c r="L48" i="14"/>
  <c r="C48" i="14"/>
  <c r="U47" i="14"/>
  <c r="L47" i="14"/>
  <c r="C47" i="14"/>
  <c r="B104" i="19" s="1"/>
  <c r="A104" i="19" s="1"/>
  <c r="U46" i="14"/>
  <c r="L46" i="14"/>
  <c r="C46" i="14"/>
  <c r="B103" i="19" s="1"/>
  <c r="A103" i="19" s="1"/>
  <c r="U45" i="14"/>
  <c r="L45" i="14"/>
  <c r="C45" i="14"/>
  <c r="U44" i="14"/>
  <c r="L44" i="14"/>
  <c r="C44" i="14"/>
  <c r="U43" i="14"/>
  <c r="L43" i="14"/>
  <c r="C43" i="14"/>
  <c r="U42" i="14"/>
  <c r="L42" i="14"/>
  <c r="C42" i="14"/>
  <c r="K42" i="14" s="1"/>
  <c r="S42" i="14" s="1"/>
  <c r="U41" i="14"/>
  <c r="L41" i="14"/>
  <c r="C41" i="14"/>
  <c r="B98" i="19" s="1"/>
  <c r="A98" i="19" s="1"/>
  <c r="U40" i="14"/>
  <c r="L40" i="14"/>
  <c r="C40" i="14"/>
  <c r="U39" i="14"/>
  <c r="L39" i="14"/>
  <c r="C39" i="14"/>
  <c r="U38" i="14"/>
  <c r="L38" i="14"/>
  <c r="C38" i="14"/>
  <c r="B95" i="19"/>
  <c r="A95" i="19" s="1"/>
  <c r="U37" i="14"/>
  <c r="L37" i="14"/>
  <c r="C37" i="14"/>
  <c r="K37" i="14" s="1"/>
  <c r="S37" i="14" s="1"/>
  <c r="U36" i="14"/>
  <c r="L36" i="14"/>
  <c r="C36" i="14"/>
  <c r="K36" i="14" s="1"/>
  <c r="S36" i="14" s="1"/>
  <c r="U35" i="14"/>
  <c r="L35" i="14"/>
  <c r="C35" i="14"/>
  <c r="B92" i="19" s="1"/>
  <c r="A92" i="19" s="1"/>
  <c r="U34" i="14"/>
  <c r="L34" i="14"/>
  <c r="C34" i="14"/>
  <c r="B91" i="19" s="1"/>
  <c r="A91" i="19" s="1"/>
  <c r="U33" i="14"/>
  <c r="L33" i="14"/>
  <c r="C33" i="14"/>
  <c r="U32" i="14"/>
  <c r="L32" i="14"/>
  <c r="C32" i="14"/>
  <c r="K32" i="14" s="1"/>
  <c r="S32" i="14" s="1"/>
  <c r="U31" i="14"/>
  <c r="L31" i="14"/>
  <c r="C31" i="14"/>
  <c r="B88" i="19" s="1"/>
  <c r="A88" i="19" s="1"/>
  <c r="U30" i="14"/>
  <c r="L30" i="14"/>
  <c r="C30" i="14"/>
  <c r="K30" i="14" s="1"/>
  <c r="S30" i="14" s="1"/>
  <c r="U29" i="14"/>
  <c r="L29" i="14"/>
  <c r="C29" i="14"/>
  <c r="B86" i="19" s="1"/>
  <c r="A86" i="19" s="1"/>
  <c r="G28" i="14"/>
  <c r="E28" i="14"/>
  <c r="W28" i="14" s="1"/>
  <c r="R13" i="14"/>
  <c r="R14" i="14" s="1"/>
  <c r="R15" i="14" s="1"/>
  <c r="R16" i="14" s="1"/>
  <c r="R17" i="14" s="1"/>
  <c r="R18" i="14" s="1"/>
  <c r="R19" i="14" s="1"/>
  <c r="R20" i="14" s="1"/>
  <c r="R21" i="14" s="1"/>
  <c r="R22" i="14" s="1"/>
  <c r="T12" i="14"/>
  <c r="V12" i="14" s="1"/>
  <c r="G39" i="14" s="1"/>
  <c r="D11" i="14"/>
  <c r="D10" i="14"/>
  <c r="R11" i="14" s="1"/>
  <c r="R10" i="14"/>
  <c r="R9" i="14" s="1"/>
  <c r="R8" i="14" s="1"/>
  <c r="R7" i="14" s="1"/>
  <c r="R6" i="14" s="1"/>
  <c r="R5" i="14" s="1"/>
  <c r="R4" i="14" s="1"/>
  <c r="R3" i="14" s="1"/>
  <c r="R2" i="14" s="1"/>
  <c r="D8" i="13"/>
  <c r="U51" i="13"/>
  <c r="L51" i="13"/>
  <c r="C51" i="13"/>
  <c r="K51" i="13" s="1"/>
  <c r="S51" i="13" s="1"/>
  <c r="U50" i="13"/>
  <c r="L50" i="13"/>
  <c r="C50" i="13"/>
  <c r="K50" i="13" s="1"/>
  <c r="S50" i="13" s="1"/>
  <c r="U49" i="13"/>
  <c r="L49" i="13"/>
  <c r="C49" i="13"/>
  <c r="K49" i="13"/>
  <c r="S49" i="13" s="1"/>
  <c r="U48" i="13"/>
  <c r="L48" i="13"/>
  <c r="C48" i="13"/>
  <c r="K48" i="13" s="1"/>
  <c r="S48" i="13" s="1"/>
  <c r="U47" i="13"/>
  <c r="L47" i="13"/>
  <c r="C47" i="13"/>
  <c r="K47" i="13"/>
  <c r="S47" i="13" s="1"/>
  <c r="U46" i="13"/>
  <c r="L46" i="13"/>
  <c r="C46" i="13"/>
  <c r="K46" i="13" s="1"/>
  <c r="S46" i="13" s="1"/>
  <c r="U45" i="13"/>
  <c r="L45" i="13"/>
  <c r="C45" i="13"/>
  <c r="K45" i="13" s="1"/>
  <c r="S45" i="13" s="1"/>
  <c r="U44" i="13"/>
  <c r="L44" i="13"/>
  <c r="C44" i="13"/>
  <c r="K44" i="13" s="1"/>
  <c r="S44" i="13" s="1"/>
  <c r="U43" i="13"/>
  <c r="L43" i="13"/>
  <c r="C43" i="13"/>
  <c r="K43" i="13" s="1"/>
  <c r="S43" i="13" s="1"/>
  <c r="U42" i="13"/>
  <c r="L42" i="13"/>
  <c r="C42" i="13"/>
  <c r="K42" i="13" s="1"/>
  <c r="S42" i="13" s="1"/>
  <c r="U41" i="13"/>
  <c r="L41" i="13"/>
  <c r="C41" i="13"/>
  <c r="K41" i="13" s="1"/>
  <c r="S41" i="13" s="1"/>
  <c r="U40" i="13"/>
  <c r="L40" i="13"/>
  <c r="C40" i="13"/>
  <c r="K40" i="13" s="1"/>
  <c r="S40" i="13" s="1"/>
  <c r="U39" i="13"/>
  <c r="L39" i="13"/>
  <c r="C39" i="13"/>
  <c r="K39" i="13"/>
  <c r="S39" i="13" s="1"/>
  <c r="U38" i="13"/>
  <c r="L38" i="13"/>
  <c r="C38" i="13"/>
  <c r="K38" i="13" s="1"/>
  <c r="S38" i="13" s="1"/>
  <c r="U37" i="13"/>
  <c r="L37" i="13"/>
  <c r="C37" i="13"/>
  <c r="K37" i="13" s="1"/>
  <c r="S37" i="13" s="1"/>
  <c r="U36" i="13"/>
  <c r="L36" i="13"/>
  <c r="C36" i="13"/>
  <c r="K36" i="13" s="1"/>
  <c r="S36" i="13" s="1"/>
  <c r="U35" i="13"/>
  <c r="L35" i="13"/>
  <c r="C35" i="13"/>
  <c r="K35" i="13" s="1"/>
  <c r="S35" i="13" s="1"/>
  <c r="U34" i="13"/>
  <c r="L34" i="13"/>
  <c r="C34" i="13"/>
  <c r="K34" i="13" s="1"/>
  <c r="S34" i="13" s="1"/>
  <c r="U33" i="13"/>
  <c r="L33" i="13"/>
  <c r="C33" i="13"/>
  <c r="K33" i="13" s="1"/>
  <c r="S33" i="13" s="1"/>
  <c r="U32" i="13"/>
  <c r="L32" i="13"/>
  <c r="C32" i="13"/>
  <c r="K32" i="13" s="1"/>
  <c r="S32" i="13" s="1"/>
  <c r="U29" i="13"/>
  <c r="L29" i="13"/>
  <c r="C29" i="13"/>
  <c r="K29" i="13"/>
  <c r="S29" i="13" s="1"/>
  <c r="E28" i="13"/>
  <c r="W28" i="13" s="1"/>
  <c r="R13" i="13"/>
  <c r="R14" i="13"/>
  <c r="R15" i="13" s="1"/>
  <c r="R16" i="13" s="1"/>
  <c r="R17" i="13" s="1"/>
  <c r="R18" i="13" s="1"/>
  <c r="R19" i="13" s="1"/>
  <c r="R20" i="13" s="1"/>
  <c r="R21" i="13" s="1"/>
  <c r="R22" i="13" s="1"/>
  <c r="T12" i="13"/>
  <c r="S12" i="13"/>
  <c r="D11" i="13"/>
  <c r="D10" i="13"/>
  <c r="R11" i="13" s="1"/>
  <c r="R10" i="13" s="1"/>
  <c r="R9" i="13" s="1"/>
  <c r="R8" i="13" s="1"/>
  <c r="U49" i="10"/>
  <c r="L49" i="10"/>
  <c r="C49" i="10"/>
  <c r="U48" i="10"/>
  <c r="L48" i="10"/>
  <c r="C48" i="10"/>
  <c r="B63" i="19" s="1"/>
  <c r="A63" i="19" s="1"/>
  <c r="K48" i="10"/>
  <c r="S48" i="10" s="1"/>
  <c r="U47" i="10"/>
  <c r="L47" i="10"/>
  <c r="C47" i="10"/>
  <c r="B62" i="19" s="1"/>
  <c r="A62" i="19" s="1"/>
  <c r="U46" i="10"/>
  <c r="L46" i="10"/>
  <c r="C46" i="10"/>
  <c r="U45" i="10"/>
  <c r="L45" i="10"/>
  <c r="C45" i="10"/>
  <c r="U44" i="10"/>
  <c r="L44" i="10"/>
  <c r="C44" i="10"/>
  <c r="B59" i="19"/>
  <c r="A59" i="19" s="1"/>
  <c r="U43" i="10"/>
  <c r="L43" i="10"/>
  <c r="C43" i="10"/>
  <c r="B58" i="19" s="1"/>
  <c r="A58" i="19" s="1"/>
  <c r="U42" i="10"/>
  <c r="L42" i="10"/>
  <c r="C42" i="10"/>
  <c r="U41" i="10"/>
  <c r="L41" i="10"/>
  <c r="C41" i="10"/>
  <c r="U40" i="10"/>
  <c r="L40" i="10"/>
  <c r="C40" i="10"/>
  <c r="B55" i="19" s="1"/>
  <c r="A55" i="19" s="1"/>
  <c r="K40" i="10"/>
  <c r="S40" i="10" s="1"/>
  <c r="U39" i="10"/>
  <c r="L39" i="10"/>
  <c r="C39" i="10"/>
  <c r="B54" i="19" s="1"/>
  <c r="A54" i="19" s="1"/>
  <c r="U38" i="10"/>
  <c r="L38" i="10"/>
  <c r="C38" i="10"/>
  <c r="U37" i="10"/>
  <c r="L37" i="10"/>
  <c r="C37" i="10"/>
  <c r="B52" i="19" s="1"/>
  <c r="A52" i="19" s="1"/>
  <c r="U36" i="10"/>
  <c r="L36" i="10"/>
  <c r="C36" i="10"/>
  <c r="K36" i="10" s="1"/>
  <c r="S36" i="10" s="1"/>
  <c r="U35" i="10"/>
  <c r="L35" i="10"/>
  <c r="C35" i="10"/>
  <c r="U34" i="10"/>
  <c r="L34" i="10"/>
  <c r="C34" i="10"/>
  <c r="U33" i="10"/>
  <c r="L33" i="10"/>
  <c r="C33" i="10"/>
  <c r="U32" i="10"/>
  <c r="L32" i="10"/>
  <c r="C32" i="10"/>
  <c r="B47" i="19" s="1"/>
  <c r="A47" i="19" s="1"/>
  <c r="U31" i="10"/>
  <c r="L31" i="10"/>
  <c r="C31" i="10"/>
  <c r="U30" i="10"/>
  <c r="L30" i="10"/>
  <c r="C30" i="10"/>
  <c r="U29" i="10"/>
  <c r="L29" i="10"/>
  <c r="C29" i="10"/>
  <c r="G28" i="10"/>
  <c r="F28" i="10"/>
  <c r="R13" i="10"/>
  <c r="R14" i="10" s="1"/>
  <c r="R15" i="10" s="1"/>
  <c r="R16" i="10" s="1"/>
  <c r="R17" i="10" s="1"/>
  <c r="R18" i="10" s="1"/>
  <c r="R19" i="10" s="1"/>
  <c r="R20" i="10" s="1"/>
  <c r="R21" i="10" s="1"/>
  <c r="R22" i="10" s="1"/>
  <c r="T12" i="10"/>
  <c r="S12" i="10"/>
  <c r="R11" i="10"/>
  <c r="U49" i="7"/>
  <c r="L49" i="7"/>
  <c r="C49" i="7"/>
  <c r="B85" i="19" s="1"/>
  <c r="A85" i="19" s="1"/>
  <c r="U48" i="7"/>
  <c r="L48" i="7"/>
  <c r="C48" i="7"/>
  <c r="B84" i="19" s="1"/>
  <c r="A84" i="19" s="1"/>
  <c r="U47" i="7"/>
  <c r="L47" i="7"/>
  <c r="C47" i="7"/>
  <c r="B83" i="19"/>
  <c r="A83" i="19" s="1"/>
  <c r="K47" i="7"/>
  <c r="S47" i="7"/>
  <c r="U46" i="7"/>
  <c r="L46" i="7"/>
  <c r="C46" i="7"/>
  <c r="U45" i="7"/>
  <c r="L45" i="7"/>
  <c r="C45" i="7"/>
  <c r="U44" i="7"/>
  <c r="L44" i="7"/>
  <c r="C44" i="7"/>
  <c r="B80" i="19" s="1"/>
  <c r="A80" i="19" s="1"/>
  <c r="U43" i="7"/>
  <c r="L43" i="7"/>
  <c r="C43" i="7"/>
  <c r="K43" i="7" s="1"/>
  <c r="S43" i="7" s="1"/>
  <c r="B79" i="19"/>
  <c r="A79" i="19" s="1"/>
  <c r="U42" i="7"/>
  <c r="L42" i="7"/>
  <c r="C42" i="7"/>
  <c r="U41" i="7"/>
  <c r="L41" i="7"/>
  <c r="C41" i="7"/>
  <c r="B77" i="19" s="1"/>
  <c r="A77" i="19" s="1"/>
  <c r="U40" i="7"/>
  <c r="L40" i="7"/>
  <c r="C40" i="7"/>
  <c r="B76" i="19" s="1"/>
  <c r="A76" i="19" s="1"/>
  <c r="U39" i="7"/>
  <c r="L39" i="7"/>
  <c r="C39" i="7"/>
  <c r="K39" i="7" s="1"/>
  <c r="S39" i="7" s="1"/>
  <c r="B75" i="19"/>
  <c r="A75" i="19" s="1"/>
  <c r="U38" i="7"/>
  <c r="L38" i="7"/>
  <c r="C38" i="7"/>
  <c r="U37" i="7"/>
  <c r="L37" i="7"/>
  <c r="C37" i="7"/>
  <c r="B73" i="19" s="1"/>
  <c r="A73" i="19" s="1"/>
  <c r="K37" i="7"/>
  <c r="S37" i="7" s="1"/>
  <c r="U36" i="7"/>
  <c r="L36" i="7"/>
  <c r="C36" i="7"/>
  <c r="B72" i="19" s="1"/>
  <c r="A72" i="19" s="1"/>
  <c r="U35" i="7"/>
  <c r="L35" i="7"/>
  <c r="C35" i="7"/>
  <c r="B71" i="19" s="1"/>
  <c r="A71" i="19" s="1"/>
  <c r="K35" i="7"/>
  <c r="S35" i="7" s="1"/>
  <c r="U34" i="7"/>
  <c r="L34" i="7"/>
  <c r="C34" i="7"/>
  <c r="U33" i="7"/>
  <c r="L33" i="7"/>
  <c r="C33" i="7"/>
  <c r="B69" i="19" s="1"/>
  <c r="A69" i="19" s="1"/>
  <c r="U32" i="7"/>
  <c r="L32" i="7"/>
  <c r="C32" i="7"/>
  <c r="B68" i="19" s="1"/>
  <c r="A68" i="19" s="1"/>
  <c r="K32" i="7"/>
  <c r="S32" i="7" s="1"/>
  <c r="U31" i="7"/>
  <c r="L31" i="7"/>
  <c r="C31" i="7"/>
  <c r="U30" i="7"/>
  <c r="L30" i="7"/>
  <c r="C30" i="7"/>
  <c r="U29" i="7"/>
  <c r="L29" i="7"/>
  <c r="C29" i="7"/>
  <c r="B65" i="19" s="1"/>
  <c r="A65" i="19" s="1"/>
  <c r="E28" i="7"/>
  <c r="W28" i="7" s="1"/>
  <c r="R13" i="7"/>
  <c r="R14" i="7" s="1"/>
  <c r="R15" i="7" s="1"/>
  <c r="R16" i="7" s="1"/>
  <c r="R17" i="7" s="1"/>
  <c r="R18" i="7" s="1"/>
  <c r="R19" i="7" s="1"/>
  <c r="R20" i="7" s="1"/>
  <c r="R21" i="7" s="1"/>
  <c r="R22" i="7" s="1"/>
  <c r="S12" i="7"/>
  <c r="S13" i="7" s="1"/>
  <c r="D40" i="7" s="1"/>
  <c r="V40" i="7" s="1"/>
  <c r="X40" i="7" s="1"/>
  <c r="R11" i="7"/>
  <c r="U49" i="5"/>
  <c r="L49" i="5"/>
  <c r="C49" i="5"/>
  <c r="K49" i="5" s="1"/>
  <c r="S49" i="5" s="1"/>
  <c r="U48" i="5"/>
  <c r="L48" i="5"/>
  <c r="C48" i="5"/>
  <c r="B126" i="19" s="1"/>
  <c r="A126" i="19" s="1"/>
  <c r="U47" i="5"/>
  <c r="L47" i="5"/>
  <c r="C47" i="5"/>
  <c r="U46" i="5"/>
  <c r="L46" i="5"/>
  <c r="C46" i="5"/>
  <c r="B124" i="19" s="1"/>
  <c r="A124" i="19" s="1"/>
  <c r="U45" i="5"/>
  <c r="L45" i="5"/>
  <c r="C45" i="5"/>
  <c r="B123" i="19" s="1"/>
  <c r="A123" i="19" s="1"/>
  <c r="K45" i="5"/>
  <c r="S45" i="5" s="1"/>
  <c r="U44" i="5"/>
  <c r="L44" i="5"/>
  <c r="C44" i="5"/>
  <c r="U43" i="5"/>
  <c r="L43" i="5"/>
  <c r="C43" i="5"/>
  <c r="U42" i="5"/>
  <c r="L42" i="5"/>
  <c r="C42" i="5"/>
  <c r="B120" i="19" s="1"/>
  <c r="A120" i="19" s="1"/>
  <c r="U41" i="5"/>
  <c r="L41" i="5"/>
  <c r="C41" i="5"/>
  <c r="B119" i="19" s="1"/>
  <c r="A119" i="19" s="1"/>
  <c r="U40" i="5"/>
  <c r="L40" i="5"/>
  <c r="C40" i="5"/>
  <c r="B118" i="19" s="1"/>
  <c r="A118" i="19" s="1"/>
  <c r="U39" i="5"/>
  <c r="L39" i="5"/>
  <c r="C39" i="5"/>
  <c r="U38" i="5"/>
  <c r="L38" i="5"/>
  <c r="C38" i="5"/>
  <c r="B116" i="19"/>
  <c r="A116" i="19" s="1"/>
  <c r="U37" i="5"/>
  <c r="L37" i="5"/>
  <c r="C37" i="5"/>
  <c r="B115" i="19" s="1"/>
  <c r="A115" i="19" s="1"/>
  <c r="U36" i="5"/>
  <c r="L36" i="5"/>
  <c r="C36" i="5"/>
  <c r="U35" i="5"/>
  <c r="L35" i="5"/>
  <c r="C35" i="5"/>
  <c r="K35" i="5" s="1"/>
  <c r="S35" i="5" s="1"/>
  <c r="U34" i="5"/>
  <c r="L34" i="5"/>
  <c r="C34" i="5"/>
  <c r="B112" i="19" s="1"/>
  <c r="A112" i="19" s="1"/>
  <c r="U33" i="5"/>
  <c r="L33" i="5"/>
  <c r="C33" i="5"/>
  <c r="B111" i="19" s="1"/>
  <c r="A111" i="19" s="1"/>
  <c r="U32" i="5"/>
  <c r="L32" i="5"/>
  <c r="C32" i="5"/>
  <c r="K32" i="5" s="1"/>
  <c r="S32" i="5" s="1"/>
  <c r="U31" i="5"/>
  <c r="L31" i="5"/>
  <c r="C31" i="5"/>
  <c r="U30" i="5"/>
  <c r="L30" i="5"/>
  <c r="C30" i="5"/>
  <c r="B108" i="19"/>
  <c r="A108" i="19" s="1"/>
  <c r="U29" i="5"/>
  <c r="L29" i="5"/>
  <c r="C29" i="5"/>
  <c r="B107" i="19" s="1"/>
  <c r="A107" i="19" s="1"/>
  <c r="R13" i="5"/>
  <c r="R14" i="5"/>
  <c r="T12" i="5"/>
  <c r="U12" i="5" s="1"/>
  <c r="F39" i="5" s="1"/>
  <c r="S12" i="5"/>
  <c r="S13" i="5" s="1"/>
  <c r="R11" i="5"/>
  <c r="U49" i="1"/>
  <c r="L49" i="1"/>
  <c r="U48" i="1"/>
  <c r="L48" i="1"/>
  <c r="U47" i="1"/>
  <c r="L47" i="1"/>
  <c r="U46" i="1"/>
  <c r="L46" i="1"/>
  <c r="U45" i="1"/>
  <c r="L45" i="1"/>
  <c r="U44" i="1"/>
  <c r="L44" i="1"/>
  <c r="U43" i="1"/>
  <c r="L43" i="1"/>
  <c r="U42" i="1"/>
  <c r="L42" i="1"/>
  <c r="U41" i="1"/>
  <c r="L41" i="1"/>
  <c r="U40" i="1"/>
  <c r="L40" i="1"/>
  <c r="U39" i="1"/>
  <c r="L39" i="1"/>
  <c r="U38" i="1"/>
  <c r="L38" i="1"/>
  <c r="U37" i="1"/>
  <c r="L37" i="1"/>
  <c r="U36" i="1"/>
  <c r="L36" i="1"/>
  <c r="U35" i="1"/>
  <c r="L35" i="1"/>
  <c r="U34" i="1"/>
  <c r="L34" i="1"/>
  <c r="U33" i="1"/>
  <c r="L33" i="1"/>
  <c r="U32" i="1"/>
  <c r="L32" i="1"/>
  <c r="U31" i="1"/>
  <c r="L31" i="1"/>
  <c r="U30" i="1"/>
  <c r="L30" i="1"/>
  <c r="U29" i="1"/>
  <c r="L29" i="1"/>
  <c r="R11" i="1"/>
  <c r="R10" i="1" s="1"/>
  <c r="R9" i="1" s="1"/>
  <c r="R8" i="1" s="1"/>
  <c r="R7" i="1" s="1"/>
  <c r="R6" i="1" s="1"/>
  <c r="R5" i="1" s="1"/>
  <c r="R4" i="1" s="1"/>
  <c r="R3" i="1" s="1"/>
  <c r="R2" i="1" s="1"/>
  <c r="C30" i="1"/>
  <c r="K30" i="1" s="1"/>
  <c r="S30" i="1" s="1"/>
  <c r="C31" i="1"/>
  <c r="B4" i="19" s="1"/>
  <c r="A4" i="19" s="1"/>
  <c r="C32" i="1"/>
  <c r="B5" i="19" s="1"/>
  <c r="A5" i="19" s="1"/>
  <c r="C33" i="1"/>
  <c r="B6" i="19" s="1"/>
  <c r="A6" i="19" s="1"/>
  <c r="C34" i="1"/>
  <c r="C35" i="1"/>
  <c r="B8" i="19" s="1"/>
  <c r="A8" i="19" s="1"/>
  <c r="C36" i="1"/>
  <c r="B9" i="19" s="1"/>
  <c r="A9" i="19" s="1"/>
  <c r="K36" i="1"/>
  <c r="S36" i="1" s="1"/>
  <c r="C37" i="1"/>
  <c r="B10" i="19" s="1"/>
  <c r="A10" i="19" s="1"/>
  <c r="C38" i="1"/>
  <c r="C39" i="1"/>
  <c r="B12" i="19" s="1"/>
  <c r="A12" i="19" s="1"/>
  <c r="C40" i="1"/>
  <c r="B13" i="19" s="1"/>
  <c r="A13" i="19" s="1"/>
  <c r="K40" i="1"/>
  <c r="S40" i="1" s="1"/>
  <c r="C41" i="1"/>
  <c r="B14" i="19" s="1"/>
  <c r="A14" i="19" s="1"/>
  <c r="C42" i="1"/>
  <c r="C43" i="1"/>
  <c r="C44" i="1"/>
  <c r="C45" i="1"/>
  <c r="B18" i="19"/>
  <c r="A18" i="19" s="1"/>
  <c r="C46" i="1"/>
  <c r="C47" i="1"/>
  <c r="B20" i="19" s="1"/>
  <c r="A20" i="19" s="1"/>
  <c r="C48" i="1"/>
  <c r="B21" i="19" s="1"/>
  <c r="A21" i="19" s="1"/>
  <c r="C49" i="1"/>
  <c r="B22" i="19" s="1"/>
  <c r="A22" i="19" s="1"/>
  <c r="C29" i="1"/>
  <c r="K29" i="1" s="1"/>
  <c r="S29" i="1" s="1"/>
  <c r="G28" i="1"/>
  <c r="F28" i="1"/>
  <c r="D11" i="1"/>
  <c r="S12" i="1"/>
  <c r="R13" i="1"/>
  <c r="R14" i="1" s="1"/>
  <c r="R15" i="1" s="1"/>
  <c r="R16" i="1" s="1"/>
  <c r="R17" i="1" s="1"/>
  <c r="R18" i="1" s="1"/>
  <c r="R19" i="1" s="1"/>
  <c r="R20" i="1" s="1"/>
  <c r="R21" i="1" s="1"/>
  <c r="R22" i="1" s="1"/>
  <c r="E39" i="10"/>
  <c r="D54" i="19"/>
  <c r="U12" i="10"/>
  <c r="F39" i="10"/>
  <c r="S11" i="14"/>
  <c r="T11" i="14" s="1"/>
  <c r="AB13" i="18"/>
  <c r="AD12" i="18"/>
  <c r="AC12" i="18"/>
  <c r="AB12" i="18"/>
  <c r="AA12" i="18"/>
  <c r="AF12" i="18" s="1"/>
  <c r="AB13" i="7"/>
  <c r="AC13" i="7"/>
  <c r="AD13" i="7"/>
  <c r="AA13" i="7"/>
  <c r="AF13" i="7" s="1"/>
  <c r="E39" i="5"/>
  <c r="D117" i="19" s="1"/>
  <c r="W39" i="5"/>
  <c r="T12" i="18"/>
  <c r="E39" i="18" s="1"/>
  <c r="T12" i="7"/>
  <c r="S13" i="14"/>
  <c r="D40" i="14" s="1"/>
  <c r="V12" i="7"/>
  <c r="G39" i="7" s="1"/>
  <c r="S13" i="10"/>
  <c r="S14" i="10" s="1"/>
  <c r="E39" i="7"/>
  <c r="D75" i="19" s="1"/>
  <c r="R14" i="18"/>
  <c r="R15" i="18" s="1"/>
  <c r="R16" i="18" s="1"/>
  <c r="R17" i="18" s="1"/>
  <c r="R18" i="18" s="1"/>
  <c r="R19" i="18" s="1"/>
  <c r="R20" i="18" s="1"/>
  <c r="R21" i="18" s="1"/>
  <c r="R22" i="18" s="1"/>
  <c r="E39" i="14"/>
  <c r="D96" i="19" s="1"/>
  <c r="R7" i="13"/>
  <c r="R6" i="13" s="1"/>
  <c r="R5" i="13" s="1"/>
  <c r="R4" i="13" s="1"/>
  <c r="R3" i="13" s="1"/>
  <c r="R2" i="13" s="1"/>
  <c r="R10" i="7"/>
  <c r="R9" i="7" s="1"/>
  <c r="R8" i="7" s="1"/>
  <c r="R7" i="7" s="1"/>
  <c r="R6" i="7" s="1"/>
  <c r="R5" i="7" s="1"/>
  <c r="R4" i="7" s="1"/>
  <c r="R3" i="7" s="1"/>
  <c r="R2" i="7" s="1"/>
  <c r="AA11" i="7"/>
  <c r="AF11" i="7"/>
  <c r="AC11" i="7"/>
  <c r="AD11" i="7"/>
  <c r="S13" i="18"/>
  <c r="T13" i="18" s="1"/>
  <c r="E40" i="18" s="1"/>
  <c r="D34" i="19" s="1"/>
  <c r="R15" i="5"/>
  <c r="R16" i="5" s="1"/>
  <c r="R17" i="5" s="1"/>
  <c r="R18" i="5" s="1"/>
  <c r="R19" i="5" s="1"/>
  <c r="R20" i="5" s="1"/>
  <c r="R21" i="5" s="1"/>
  <c r="R22" i="5" s="1"/>
  <c r="K30" i="5"/>
  <c r="S30" i="5" s="1"/>
  <c r="K38" i="5"/>
  <c r="S38" i="5"/>
  <c r="K46" i="5"/>
  <c r="S46" i="5" s="1"/>
  <c r="K40" i="5"/>
  <c r="S40" i="5" s="1"/>
  <c r="K34" i="5"/>
  <c r="S34" i="5"/>
  <c r="R10" i="10"/>
  <c r="R9" i="10" s="1"/>
  <c r="R8" i="10" s="1"/>
  <c r="R7" i="10" s="1"/>
  <c r="R6" i="10" s="1"/>
  <c r="R5" i="10" s="1"/>
  <c r="R4" i="10" s="1"/>
  <c r="R3" i="10" s="1"/>
  <c r="R2" i="10" s="1"/>
  <c r="E39" i="1"/>
  <c r="V12" i="1"/>
  <c r="G39" i="1" s="1"/>
  <c r="U12" i="1"/>
  <c r="F39" i="1" s="1"/>
  <c r="R10" i="5"/>
  <c r="R10" i="18"/>
  <c r="R9" i="18" s="1"/>
  <c r="R8" i="18" s="1"/>
  <c r="R7" i="18" s="1"/>
  <c r="R6" i="18" s="1"/>
  <c r="R5" i="18" s="1"/>
  <c r="R4" i="18" s="1"/>
  <c r="R3" i="18" s="1"/>
  <c r="R2" i="18" s="1"/>
  <c r="V12" i="10"/>
  <c r="G39" i="10"/>
  <c r="W39" i="10"/>
  <c r="R9" i="5"/>
  <c r="R8" i="5" s="1"/>
  <c r="R7" i="5" s="1"/>
  <c r="R6" i="5" s="1"/>
  <c r="R5" i="5" s="1"/>
  <c r="R4" i="5" s="1"/>
  <c r="R3" i="5" s="1"/>
  <c r="R2" i="5" s="1"/>
  <c r="K38" i="1"/>
  <c r="S38" i="1" s="1"/>
  <c r="B11" i="19"/>
  <c r="A11" i="19"/>
  <c r="B2" i="19"/>
  <c r="A2" i="19" s="1"/>
  <c r="B57" i="19"/>
  <c r="A57" i="19" s="1"/>
  <c r="K42" i="10"/>
  <c r="S42" i="10" s="1"/>
  <c r="B49" i="19"/>
  <c r="A49" i="19"/>
  <c r="K34" i="10"/>
  <c r="S34" i="10" s="1"/>
  <c r="B105" i="19"/>
  <c r="A105" i="19"/>
  <c r="K48" i="14"/>
  <c r="S48" i="14"/>
  <c r="B127" i="19"/>
  <c r="A127" i="19" s="1"/>
  <c r="B48" i="19"/>
  <c r="A48" i="19"/>
  <c r="K33" i="10"/>
  <c r="S33" i="10" s="1"/>
  <c r="B56" i="19"/>
  <c r="A56" i="19" s="1"/>
  <c r="K41" i="10"/>
  <c r="S41" i="10" s="1"/>
  <c r="B64" i="19"/>
  <c r="A64" i="19"/>
  <c r="K49" i="10"/>
  <c r="S49" i="10" s="1"/>
  <c r="B99" i="19"/>
  <c r="A99" i="19" s="1"/>
  <c r="W39" i="7"/>
  <c r="K34" i="1"/>
  <c r="S34" i="1"/>
  <c r="B7" i="19"/>
  <c r="A7" i="19" s="1"/>
  <c r="K42" i="5"/>
  <c r="S42" i="5" s="1"/>
  <c r="B45" i="19"/>
  <c r="A45" i="19" s="1"/>
  <c r="K30" i="10"/>
  <c r="S30" i="10" s="1"/>
  <c r="B53" i="19"/>
  <c r="A53" i="19" s="1"/>
  <c r="K38" i="10"/>
  <c r="S38" i="10" s="1"/>
  <c r="B61" i="19"/>
  <c r="A61" i="19" s="1"/>
  <c r="K46" i="10"/>
  <c r="S46" i="10" s="1"/>
  <c r="B44" i="19"/>
  <c r="A44" i="19" s="1"/>
  <c r="K29" i="10"/>
  <c r="S29" i="10" s="1"/>
  <c r="K37" i="10"/>
  <c r="S37" i="10" s="1"/>
  <c r="B60" i="19"/>
  <c r="A60" i="19"/>
  <c r="K45" i="10"/>
  <c r="S45" i="10" s="1"/>
  <c r="AA13" i="18"/>
  <c r="AF13" i="18"/>
  <c r="AD13" i="18"/>
  <c r="AC13" i="18"/>
  <c r="U12" i="18"/>
  <c r="F39" i="18" s="1"/>
  <c r="E28" i="18"/>
  <c r="W28" i="18" s="1"/>
  <c r="D39" i="14"/>
  <c r="C96" i="19" s="1"/>
  <c r="B15" i="19"/>
  <c r="A15" i="19" s="1"/>
  <c r="K42" i="1"/>
  <c r="S42" i="1"/>
  <c r="B109" i="19"/>
  <c r="A109" i="19" s="1"/>
  <c r="K31" i="5"/>
  <c r="S31" i="5" s="1"/>
  <c r="B122" i="19"/>
  <c r="A122" i="19" s="1"/>
  <c r="K44" i="5"/>
  <c r="S44" i="5" s="1"/>
  <c r="B19" i="19"/>
  <c r="A19" i="19" s="1"/>
  <c r="K46" i="1"/>
  <c r="S46" i="1" s="1"/>
  <c r="B3" i="19"/>
  <c r="A3" i="19" s="1"/>
  <c r="K49" i="14"/>
  <c r="S49" i="14" s="1"/>
  <c r="B106" i="19"/>
  <c r="A106" i="19" s="1"/>
  <c r="B114" i="19"/>
  <c r="A114" i="19" s="1"/>
  <c r="K36" i="5"/>
  <c r="S36" i="5" s="1"/>
  <c r="B125" i="19"/>
  <c r="A125" i="19" s="1"/>
  <c r="K47" i="5"/>
  <c r="S47" i="5"/>
  <c r="B66" i="19"/>
  <c r="A66" i="19" s="1"/>
  <c r="K30" i="7"/>
  <c r="S30" i="7" s="1"/>
  <c r="B70" i="19"/>
  <c r="A70" i="19" s="1"/>
  <c r="K34" i="7"/>
  <c r="S34" i="7"/>
  <c r="B74" i="19"/>
  <c r="A74" i="19" s="1"/>
  <c r="K38" i="7"/>
  <c r="S38" i="7" s="1"/>
  <c r="B78" i="19"/>
  <c r="A78" i="19" s="1"/>
  <c r="K42" i="7"/>
  <c r="S42" i="7" s="1"/>
  <c r="B82" i="19"/>
  <c r="A82" i="19" s="1"/>
  <c r="K46" i="7"/>
  <c r="S46" i="7" s="1"/>
  <c r="K33" i="14"/>
  <c r="S33" i="14" s="1"/>
  <c r="B90" i="19"/>
  <c r="A90" i="19"/>
  <c r="B97" i="19"/>
  <c r="A97" i="19" s="1"/>
  <c r="K40" i="14"/>
  <c r="S40" i="14" s="1"/>
  <c r="K33" i="5"/>
  <c r="S33" i="5" s="1"/>
  <c r="B117" i="19"/>
  <c r="A117" i="19" s="1"/>
  <c r="K39" i="5"/>
  <c r="S39" i="5" s="1"/>
  <c r="S11" i="10"/>
  <c r="T11" i="10" s="1"/>
  <c r="B89" i="19"/>
  <c r="A89" i="19" s="1"/>
  <c r="K45" i="1"/>
  <c r="S45" i="1"/>
  <c r="K41" i="1"/>
  <c r="S41" i="1" s="1"/>
  <c r="K37" i="1"/>
  <c r="S37" i="1" s="1"/>
  <c r="K29" i="7"/>
  <c r="S29" i="7" s="1"/>
  <c r="K33" i="7"/>
  <c r="S33" i="7"/>
  <c r="K41" i="7"/>
  <c r="S41" i="7"/>
  <c r="K44" i="10"/>
  <c r="S44" i="10"/>
  <c r="B93" i="19"/>
  <c r="A93" i="19" s="1"/>
  <c r="K38" i="14"/>
  <c r="S38" i="14" s="1"/>
  <c r="B101" i="19"/>
  <c r="A101" i="19"/>
  <c r="K44" i="14"/>
  <c r="S44" i="14" s="1"/>
  <c r="V12" i="18"/>
  <c r="G39" i="18" s="1"/>
  <c r="B27" i="19"/>
  <c r="A27" i="19" s="1"/>
  <c r="K33" i="18"/>
  <c r="S33" i="18" s="1"/>
  <c r="B31" i="19"/>
  <c r="A31" i="19" s="1"/>
  <c r="K37" i="18"/>
  <c r="S37" i="18" s="1"/>
  <c r="B35" i="19"/>
  <c r="A35" i="19" s="1"/>
  <c r="K41" i="18"/>
  <c r="S41" i="18"/>
  <c r="B39" i="19"/>
  <c r="A39" i="19" s="1"/>
  <c r="K45" i="18"/>
  <c r="S45" i="18" s="1"/>
  <c r="B43" i="19"/>
  <c r="A43" i="19" s="1"/>
  <c r="K49" i="18"/>
  <c r="S49" i="18" s="1"/>
  <c r="K32" i="18"/>
  <c r="S32" i="18" s="1"/>
  <c r="K36" i="18"/>
  <c r="S36" i="18" s="1"/>
  <c r="K40" i="18"/>
  <c r="S40" i="18"/>
  <c r="K44" i="18"/>
  <c r="S44" i="18"/>
  <c r="K48" i="18"/>
  <c r="S48" i="18" s="1"/>
  <c r="S10" i="10"/>
  <c r="T13" i="5" l="1"/>
  <c r="U13" i="5" s="1"/>
  <c r="F40" i="5" s="1"/>
  <c r="D40" i="5"/>
  <c r="S14" i="5"/>
  <c r="E38" i="14"/>
  <c r="W38" i="14" s="1"/>
  <c r="V11" i="14"/>
  <c r="G38" i="14" s="1"/>
  <c r="U11" i="14"/>
  <c r="F38" i="14" s="1"/>
  <c r="E38" i="10"/>
  <c r="U11" i="10"/>
  <c r="F38" i="10" s="1"/>
  <c r="D33" i="19"/>
  <c r="W39" i="18"/>
  <c r="D38" i="10"/>
  <c r="V38" i="10" s="1"/>
  <c r="X38" i="10" s="1"/>
  <c r="K49" i="7"/>
  <c r="S49" i="7" s="1"/>
  <c r="S14" i="14"/>
  <c r="T13" i="7"/>
  <c r="S10" i="14"/>
  <c r="K41" i="14"/>
  <c r="S41" i="14" s="1"/>
  <c r="S11" i="18"/>
  <c r="D39" i="18" s="1"/>
  <c r="S11" i="5"/>
  <c r="AA12" i="7"/>
  <c r="AF12" i="7" s="1"/>
  <c r="K47" i="1"/>
  <c r="S47" i="1" s="1"/>
  <c r="K31" i="1"/>
  <c r="S31" i="1" s="1"/>
  <c r="B110" i="19"/>
  <c r="A110" i="19" s="1"/>
  <c r="K32" i="10"/>
  <c r="S32" i="10" s="1"/>
  <c r="K39" i="10"/>
  <c r="S39" i="10" s="1"/>
  <c r="S11" i="13"/>
  <c r="T11" i="13" s="1"/>
  <c r="B87" i="19"/>
  <c r="A87" i="19" s="1"/>
  <c r="K31" i="18"/>
  <c r="S31" i="18" s="1"/>
  <c r="T10" i="10"/>
  <c r="K46" i="14"/>
  <c r="S46" i="14" s="1"/>
  <c r="D39" i="10"/>
  <c r="K48" i="5"/>
  <c r="S48" i="5" s="1"/>
  <c r="C76" i="19"/>
  <c r="D39" i="7"/>
  <c r="S14" i="18"/>
  <c r="U12" i="14"/>
  <c r="F39" i="14" s="1"/>
  <c r="AA11" i="18"/>
  <c r="AF11" i="18" s="1"/>
  <c r="V12" i="5"/>
  <c r="G39" i="5" s="1"/>
  <c r="K48" i="7"/>
  <c r="S48" i="7" s="1"/>
  <c r="K29" i="18"/>
  <c r="S29" i="18" s="1"/>
  <c r="S9" i="10"/>
  <c r="D40" i="18"/>
  <c r="AD11" i="18"/>
  <c r="K36" i="7"/>
  <c r="S36" i="7" s="1"/>
  <c r="T13" i="14"/>
  <c r="V39" i="14"/>
  <c r="X39" i="14" s="1"/>
  <c r="U13" i="18"/>
  <c r="F40" i="18" s="1"/>
  <c r="W39" i="14"/>
  <c r="AB12" i="7"/>
  <c r="K49" i="1"/>
  <c r="S49" i="1" s="1"/>
  <c r="K41" i="5"/>
  <c r="S41" i="5" s="1"/>
  <c r="AD12" i="7"/>
  <c r="S11" i="7"/>
  <c r="B51" i="19"/>
  <c r="A51" i="19" s="1"/>
  <c r="K31" i="14"/>
  <c r="S31" i="14" s="1"/>
  <c r="AB11" i="18"/>
  <c r="K46" i="18"/>
  <c r="S46" i="18" s="1"/>
  <c r="K33" i="1"/>
  <c r="S33" i="1" s="1"/>
  <c r="S14" i="7"/>
  <c r="S13" i="13"/>
  <c r="K34" i="14"/>
  <c r="S34" i="14" s="1"/>
  <c r="K35" i="18"/>
  <c r="S35" i="18" s="1"/>
  <c r="B96" i="19"/>
  <c r="A96" i="19" s="1"/>
  <c r="G96" i="19" s="1"/>
  <c r="K39" i="14"/>
  <c r="S39" i="14" s="1"/>
  <c r="C53" i="19"/>
  <c r="C54" i="19"/>
  <c r="G54" i="19" s="1"/>
  <c r="V39" i="10"/>
  <c r="X39" i="10" s="1"/>
  <c r="S15" i="10"/>
  <c r="T14" i="10"/>
  <c r="D41" i="10"/>
  <c r="V11" i="10"/>
  <c r="G38" i="10" s="1"/>
  <c r="V40" i="14"/>
  <c r="X40" i="14" s="1"/>
  <c r="C97" i="19"/>
  <c r="B121" i="19"/>
  <c r="A121" i="19" s="1"/>
  <c r="K43" i="5"/>
  <c r="S43" i="5" s="1"/>
  <c r="S10" i="5"/>
  <c r="T11" i="5"/>
  <c r="D39" i="5"/>
  <c r="E40" i="5"/>
  <c r="V13" i="5"/>
  <c r="G40" i="5" s="1"/>
  <c r="K35" i="10"/>
  <c r="S35" i="10" s="1"/>
  <c r="B50" i="19"/>
  <c r="A50" i="19" s="1"/>
  <c r="B102" i="19"/>
  <c r="A102" i="19" s="1"/>
  <c r="K45" i="14"/>
  <c r="S45" i="14" s="1"/>
  <c r="V13" i="18"/>
  <c r="G40" i="18" s="1"/>
  <c r="S10" i="13"/>
  <c r="D41" i="13"/>
  <c r="V41" i="13" s="1"/>
  <c r="X41" i="13" s="1"/>
  <c r="W39" i="1"/>
  <c r="D12" i="19"/>
  <c r="E41" i="13"/>
  <c r="W41" i="13" s="1"/>
  <c r="U12" i="13"/>
  <c r="F41" i="13" s="1"/>
  <c r="V12" i="13"/>
  <c r="G41" i="13" s="1"/>
  <c r="B100" i="19"/>
  <c r="A100" i="19" s="1"/>
  <c r="K43" i="14"/>
  <c r="S43" i="14" s="1"/>
  <c r="W40" i="18"/>
  <c r="T11" i="18"/>
  <c r="S10" i="18"/>
  <c r="B17" i="19"/>
  <c r="A17" i="19" s="1"/>
  <c r="K44" i="1"/>
  <c r="S44" i="1" s="1"/>
  <c r="K45" i="7"/>
  <c r="S45" i="7" s="1"/>
  <c r="B81" i="19"/>
  <c r="A81" i="19" s="1"/>
  <c r="B46" i="19"/>
  <c r="A46" i="19" s="1"/>
  <c r="K31" i="10"/>
  <c r="S31" i="10" s="1"/>
  <c r="B32" i="19"/>
  <c r="A32" i="19" s="1"/>
  <c r="K38" i="18"/>
  <c r="S38" i="18" s="1"/>
  <c r="D40" i="10"/>
  <c r="T13" i="10"/>
  <c r="B16" i="19"/>
  <c r="A16" i="19" s="1"/>
  <c r="K43" i="1"/>
  <c r="S43" i="1" s="1"/>
  <c r="S13" i="1"/>
  <c r="S11" i="1"/>
  <c r="D39" i="1"/>
  <c r="B67" i="19"/>
  <c r="A67" i="19" s="1"/>
  <c r="K31" i="7"/>
  <c r="S31" i="7" s="1"/>
  <c r="F28" i="7"/>
  <c r="U12" i="7"/>
  <c r="F39" i="7" s="1"/>
  <c r="K35" i="1"/>
  <c r="S35" i="1" s="1"/>
  <c r="K29" i="5"/>
  <c r="S29" i="5" s="1"/>
  <c r="B113" i="19"/>
  <c r="A113" i="19" s="1"/>
  <c r="K37" i="5"/>
  <c r="S37" i="5" s="1"/>
  <c r="K44" i="7"/>
  <c r="S44" i="7" s="1"/>
  <c r="K43" i="10"/>
  <c r="S43" i="10" s="1"/>
  <c r="K47" i="10"/>
  <c r="S47" i="10" s="1"/>
  <c r="K35" i="14"/>
  <c r="S35" i="14" s="1"/>
  <c r="K47" i="14"/>
  <c r="S47" i="14" s="1"/>
  <c r="K34" i="18"/>
  <c r="S34" i="18" s="1"/>
  <c r="B41" i="19"/>
  <c r="A41" i="19" s="1"/>
  <c r="B94" i="19"/>
  <c r="A94" i="19" s="1"/>
  <c r="K32" i="1"/>
  <c r="S32" i="1" s="1"/>
  <c r="K43" i="18"/>
  <c r="S43" i="18" s="1"/>
  <c r="K39" i="1"/>
  <c r="S39" i="1" s="1"/>
  <c r="K29" i="14"/>
  <c r="S29" i="14" s="1"/>
  <c r="K30" i="18"/>
  <c r="S30" i="18" s="1"/>
  <c r="K42" i="18"/>
  <c r="S42" i="18" s="1"/>
  <c r="K48" i="1"/>
  <c r="S48" i="1" s="1"/>
  <c r="K40" i="7"/>
  <c r="S40" i="7" s="1"/>
  <c r="V39" i="18" l="1"/>
  <c r="X39" i="18" s="1"/>
  <c r="C33" i="19"/>
  <c r="G33" i="19" s="1"/>
  <c r="D41" i="7"/>
  <c r="T14" i="7"/>
  <c r="S15" i="7"/>
  <c r="D95" i="19"/>
  <c r="V40" i="18"/>
  <c r="X40" i="18" s="1"/>
  <c r="C34" i="19"/>
  <c r="G34" i="19" s="1"/>
  <c r="C75" i="19"/>
  <c r="G75" i="19" s="1"/>
  <c r="V39" i="7"/>
  <c r="X39" i="7" s="1"/>
  <c r="S8" i="10"/>
  <c r="T9" i="10"/>
  <c r="D36" i="10"/>
  <c r="U11" i="13"/>
  <c r="F40" i="13" s="1"/>
  <c r="V11" i="13"/>
  <c r="G40" i="13" s="1"/>
  <c r="E40" i="13"/>
  <c r="W40" i="13" s="1"/>
  <c r="D37" i="10"/>
  <c r="D38" i="14"/>
  <c r="S9" i="14"/>
  <c r="T10" i="14"/>
  <c r="S15" i="5"/>
  <c r="T14" i="5"/>
  <c r="D41" i="5"/>
  <c r="V13" i="7"/>
  <c r="G40" i="7" s="1"/>
  <c r="U13" i="7"/>
  <c r="F40" i="7" s="1"/>
  <c r="E40" i="7"/>
  <c r="V40" i="5"/>
  <c r="X40" i="5" s="1"/>
  <c r="C118" i="19"/>
  <c r="D41" i="18"/>
  <c r="S15" i="18"/>
  <c r="T14" i="18"/>
  <c r="W38" i="10"/>
  <c r="D53" i="19"/>
  <c r="G53" i="19" s="1"/>
  <c r="S10" i="7"/>
  <c r="T11" i="7"/>
  <c r="V13" i="14"/>
  <c r="G40" i="14" s="1"/>
  <c r="E40" i="14"/>
  <c r="U13" i="14"/>
  <c r="F40" i="14" s="1"/>
  <c r="E37" i="10"/>
  <c r="U10" i="10"/>
  <c r="F37" i="10" s="1"/>
  <c r="V10" i="10"/>
  <c r="G37" i="10" s="1"/>
  <c r="D41" i="14"/>
  <c r="S15" i="14"/>
  <c r="T14" i="14"/>
  <c r="T13" i="13"/>
  <c r="D42" i="13"/>
  <c r="V42" i="13" s="1"/>
  <c r="X42" i="13" s="1"/>
  <c r="S14" i="13"/>
  <c r="T10" i="5"/>
  <c r="S9" i="5"/>
  <c r="D37" i="5" s="1"/>
  <c r="U13" i="10"/>
  <c r="F40" i="10" s="1"/>
  <c r="E40" i="10"/>
  <c r="V13" i="10"/>
  <c r="G40" i="10" s="1"/>
  <c r="T10" i="13"/>
  <c r="D40" i="13"/>
  <c r="V40" i="13" s="1"/>
  <c r="X40" i="13" s="1"/>
  <c r="D39" i="13"/>
  <c r="V39" i="13" s="1"/>
  <c r="X39" i="13" s="1"/>
  <c r="S9" i="13"/>
  <c r="V40" i="10"/>
  <c r="X40" i="10" s="1"/>
  <c r="C55" i="19"/>
  <c r="C12" i="19"/>
  <c r="G12" i="19" s="1"/>
  <c r="V39" i="1"/>
  <c r="X39" i="1" s="1"/>
  <c r="T10" i="18"/>
  <c r="S9" i="18"/>
  <c r="D37" i="18"/>
  <c r="W40" i="5"/>
  <c r="D118" i="19"/>
  <c r="G118" i="19" s="1"/>
  <c r="S10" i="1"/>
  <c r="D38" i="1" s="1"/>
  <c r="T11" i="1"/>
  <c r="E38" i="18"/>
  <c r="V11" i="18"/>
  <c r="G38" i="18" s="1"/>
  <c r="U11" i="18"/>
  <c r="F38" i="18" s="1"/>
  <c r="D38" i="5"/>
  <c r="C56" i="19"/>
  <c r="V41" i="10"/>
  <c r="X41" i="10" s="1"/>
  <c r="T13" i="1"/>
  <c r="S14" i="1"/>
  <c r="D40" i="1"/>
  <c r="D38" i="18"/>
  <c r="V39" i="5"/>
  <c r="X39" i="5" s="1"/>
  <c r="C117" i="19"/>
  <c r="G117" i="19" s="1"/>
  <c r="E41" i="10"/>
  <c r="U14" i="10"/>
  <c r="F41" i="10" s="1"/>
  <c r="V14" i="10"/>
  <c r="G41" i="10" s="1"/>
  <c r="V11" i="5"/>
  <c r="G38" i="5" s="1"/>
  <c r="U11" i="5"/>
  <c r="F38" i="5" s="1"/>
  <c r="E38" i="5"/>
  <c r="D42" i="10"/>
  <c r="T15" i="10"/>
  <c r="S16" i="10"/>
  <c r="D42" i="14" l="1"/>
  <c r="T15" i="14"/>
  <c r="S16" i="14"/>
  <c r="V11" i="7"/>
  <c r="G38" i="7" s="1"/>
  <c r="U11" i="7"/>
  <c r="F38" i="7" s="1"/>
  <c r="E38" i="7"/>
  <c r="S16" i="5"/>
  <c r="T15" i="5"/>
  <c r="D42" i="5"/>
  <c r="V14" i="14"/>
  <c r="G41" i="14" s="1"/>
  <c r="E41" i="14"/>
  <c r="U14" i="14"/>
  <c r="F41" i="14" s="1"/>
  <c r="C98" i="19"/>
  <c r="V41" i="14"/>
  <c r="X41" i="14" s="1"/>
  <c r="D38" i="7"/>
  <c r="S9" i="7"/>
  <c r="T10" i="7"/>
  <c r="V10" i="14"/>
  <c r="G37" i="14" s="1"/>
  <c r="E37" i="14"/>
  <c r="U10" i="14"/>
  <c r="F37" i="14" s="1"/>
  <c r="D42" i="7"/>
  <c r="T15" i="7"/>
  <c r="S16" i="7"/>
  <c r="D43" i="13"/>
  <c r="V43" i="13" s="1"/>
  <c r="X43" i="13" s="1"/>
  <c r="S15" i="13"/>
  <c r="T14" i="13"/>
  <c r="V38" i="14"/>
  <c r="X38" i="14" s="1"/>
  <c r="C95" i="19"/>
  <c r="G95" i="19" s="1"/>
  <c r="U9" i="10"/>
  <c r="F36" i="10" s="1"/>
  <c r="E36" i="10"/>
  <c r="V9" i="10"/>
  <c r="G36" i="10" s="1"/>
  <c r="E41" i="7"/>
  <c r="V14" i="7"/>
  <c r="G41" i="7" s="1"/>
  <c r="U14" i="7"/>
  <c r="F41" i="7" s="1"/>
  <c r="U14" i="5"/>
  <c r="F41" i="5" s="1"/>
  <c r="V14" i="5"/>
  <c r="G41" i="5" s="1"/>
  <c r="E41" i="5"/>
  <c r="W40" i="7"/>
  <c r="D76" i="19"/>
  <c r="G76" i="19" s="1"/>
  <c r="W37" i="10"/>
  <c r="D52" i="19"/>
  <c r="E41" i="18"/>
  <c r="V14" i="18"/>
  <c r="G41" i="18" s="1"/>
  <c r="U14" i="18"/>
  <c r="F41" i="18" s="1"/>
  <c r="S7" i="10"/>
  <c r="T8" i="10"/>
  <c r="V41" i="7"/>
  <c r="X41" i="7" s="1"/>
  <c r="C77" i="19"/>
  <c r="V36" i="10"/>
  <c r="X36" i="10" s="1"/>
  <c r="C51" i="19"/>
  <c r="V13" i="13"/>
  <c r="G42" i="13" s="1"/>
  <c r="U13" i="13"/>
  <c r="F42" i="13" s="1"/>
  <c r="E42" i="13"/>
  <c r="W42" i="13" s="1"/>
  <c r="D42" i="18"/>
  <c r="T15" i="18"/>
  <c r="S16" i="18"/>
  <c r="C52" i="19"/>
  <c r="V37" i="10"/>
  <c r="X37" i="10" s="1"/>
  <c r="S8" i="14"/>
  <c r="D36" i="14" s="1"/>
  <c r="T9" i="14"/>
  <c r="D37" i="14"/>
  <c r="W40" i="14"/>
  <c r="D97" i="19"/>
  <c r="G97" i="19" s="1"/>
  <c r="V41" i="18"/>
  <c r="X41" i="18" s="1"/>
  <c r="C35" i="19"/>
  <c r="C119" i="19"/>
  <c r="V41" i="5"/>
  <c r="X41" i="5" s="1"/>
  <c r="T10" i="1"/>
  <c r="S9" i="1"/>
  <c r="D37" i="1" s="1"/>
  <c r="T9" i="13"/>
  <c r="S8" i="13"/>
  <c r="D38" i="13"/>
  <c r="V38" i="13" s="1"/>
  <c r="X38" i="13" s="1"/>
  <c r="E38" i="1"/>
  <c r="V11" i="1"/>
  <c r="G38" i="1" s="1"/>
  <c r="U11" i="1"/>
  <c r="F38" i="1" s="1"/>
  <c r="V38" i="1"/>
  <c r="X38" i="1" s="1"/>
  <c r="C11" i="19"/>
  <c r="C57" i="19"/>
  <c r="V42" i="10"/>
  <c r="X42" i="10" s="1"/>
  <c r="V38" i="18"/>
  <c r="X38" i="18" s="1"/>
  <c r="C32" i="19"/>
  <c r="C115" i="19"/>
  <c r="V37" i="5"/>
  <c r="X37" i="5" s="1"/>
  <c r="C116" i="19"/>
  <c r="V38" i="5"/>
  <c r="X38" i="5" s="1"/>
  <c r="C31" i="19"/>
  <c r="V37" i="18"/>
  <c r="X37" i="18" s="1"/>
  <c r="C13" i="19"/>
  <c r="V40" i="1"/>
  <c r="X40" i="1" s="1"/>
  <c r="T9" i="18"/>
  <c r="S8" i="18"/>
  <c r="E39" i="13"/>
  <c r="W39" i="13" s="1"/>
  <c r="U10" i="13"/>
  <c r="F39" i="13" s="1"/>
  <c r="V10" i="13"/>
  <c r="G39" i="13" s="1"/>
  <c r="T9" i="5"/>
  <c r="S8" i="5"/>
  <c r="D36" i="5" s="1"/>
  <c r="E42" i="10"/>
  <c r="U15" i="10"/>
  <c r="F42" i="10" s="1"/>
  <c r="V15" i="10"/>
  <c r="G42" i="10" s="1"/>
  <c r="D56" i="19"/>
  <c r="G56" i="19" s="1"/>
  <c r="W41" i="10"/>
  <c r="D41" i="1"/>
  <c r="S15" i="1"/>
  <c r="T14" i="1"/>
  <c r="D32" i="19"/>
  <c r="W38" i="18"/>
  <c r="V10" i="18"/>
  <c r="G37" i="18" s="1"/>
  <c r="U10" i="18"/>
  <c r="F37" i="18" s="1"/>
  <c r="E37" i="18"/>
  <c r="V10" i="5"/>
  <c r="G37" i="5" s="1"/>
  <c r="U10" i="5"/>
  <c r="F37" i="5" s="1"/>
  <c r="E37" i="5"/>
  <c r="T16" i="10"/>
  <c r="S17" i="10"/>
  <c r="D43" i="10"/>
  <c r="W38" i="5"/>
  <c r="D116" i="19"/>
  <c r="V13" i="1"/>
  <c r="G40" i="1" s="1"/>
  <c r="U13" i="1"/>
  <c r="F40" i="1" s="1"/>
  <c r="E40" i="1"/>
  <c r="W40" i="10"/>
  <c r="D55" i="19"/>
  <c r="G55" i="19" s="1"/>
  <c r="V36" i="14" l="1"/>
  <c r="X36" i="14" s="1"/>
  <c r="C93" i="19"/>
  <c r="V9" i="14"/>
  <c r="G36" i="14" s="1"/>
  <c r="E36" i="14"/>
  <c r="U9" i="14"/>
  <c r="F36" i="14" s="1"/>
  <c r="T7" i="10"/>
  <c r="D35" i="10"/>
  <c r="S6" i="10"/>
  <c r="D119" i="19"/>
  <c r="G119" i="19" s="1"/>
  <c r="W41" i="5"/>
  <c r="C78" i="19"/>
  <c r="V42" i="7"/>
  <c r="X42" i="7" s="1"/>
  <c r="C74" i="19"/>
  <c r="V38" i="7"/>
  <c r="X38" i="7" s="1"/>
  <c r="D43" i="5"/>
  <c r="T16" i="5"/>
  <c r="S17" i="5"/>
  <c r="V15" i="5"/>
  <c r="G42" i="5" s="1"/>
  <c r="E42" i="5"/>
  <c r="U15" i="5"/>
  <c r="F42" i="5" s="1"/>
  <c r="W38" i="7"/>
  <c r="D74" i="19"/>
  <c r="G74" i="19" s="1"/>
  <c r="E35" i="10"/>
  <c r="V8" i="10"/>
  <c r="G35" i="10" s="1"/>
  <c r="U8" i="10"/>
  <c r="F35" i="10" s="1"/>
  <c r="D51" i="19"/>
  <c r="G51" i="19" s="1"/>
  <c r="W36" i="10"/>
  <c r="G116" i="19"/>
  <c r="D35" i="19"/>
  <c r="G35" i="19" s="1"/>
  <c r="W41" i="18"/>
  <c r="V14" i="13"/>
  <c r="G43" i="13" s="1"/>
  <c r="U14" i="13"/>
  <c r="F43" i="13" s="1"/>
  <c r="E43" i="13"/>
  <c r="W43" i="13" s="1"/>
  <c r="W37" i="14"/>
  <c r="D94" i="19"/>
  <c r="U15" i="7"/>
  <c r="F42" i="7" s="1"/>
  <c r="E42" i="7"/>
  <c r="V15" i="7"/>
  <c r="G42" i="7" s="1"/>
  <c r="G52" i="19"/>
  <c r="S16" i="13"/>
  <c r="D44" i="13"/>
  <c r="V44" i="13" s="1"/>
  <c r="X44" i="13" s="1"/>
  <c r="T15" i="13"/>
  <c r="W41" i="14"/>
  <c r="D98" i="19"/>
  <c r="G98" i="19" s="1"/>
  <c r="D43" i="14"/>
  <c r="T16" i="14"/>
  <c r="S17" i="14"/>
  <c r="V42" i="18"/>
  <c r="X42" i="18" s="1"/>
  <c r="C36" i="19"/>
  <c r="S8" i="7"/>
  <c r="T9" i="7"/>
  <c r="D36" i="7"/>
  <c r="S7" i="14"/>
  <c r="T8" i="14"/>
  <c r="T16" i="18"/>
  <c r="S17" i="18"/>
  <c r="D43" i="18"/>
  <c r="G77" i="19"/>
  <c r="W41" i="7"/>
  <c r="D77" i="19"/>
  <c r="V10" i="7"/>
  <c r="G37" i="7" s="1"/>
  <c r="U10" i="7"/>
  <c r="F37" i="7" s="1"/>
  <c r="E37" i="7"/>
  <c r="E42" i="14"/>
  <c r="U15" i="14"/>
  <c r="F42" i="14" s="1"/>
  <c r="V15" i="14"/>
  <c r="G42" i="14" s="1"/>
  <c r="C94" i="19"/>
  <c r="V37" i="14"/>
  <c r="X37" i="14" s="1"/>
  <c r="E42" i="18"/>
  <c r="U15" i="18"/>
  <c r="F42" i="18" s="1"/>
  <c r="V15" i="18"/>
  <c r="G42" i="18" s="1"/>
  <c r="T16" i="7"/>
  <c r="S17" i="7"/>
  <c r="D43" i="7"/>
  <c r="D37" i="7"/>
  <c r="C120" i="19"/>
  <c r="V42" i="5"/>
  <c r="X42" i="5" s="1"/>
  <c r="C99" i="19"/>
  <c r="V42" i="14"/>
  <c r="X42" i="14" s="1"/>
  <c r="V9" i="13"/>
  <c r="G38" i="13" s="1"/>
  <c r="U9" i="13"/>
  <c r="F38" i="13" s="1"/>
  <c r="E38" i="13"/>
  <c r="W38" i="13" s="1"/>
  <c r="T17" i="10"/>
  <c r="S18" i="10"/>
  <c r="D44" i="10"/>
  <c r="W38" i="1"/>
  <c r="D11" i="19"/>
  <c r="G11" i="19" s="1"/>
  <c r="T8" i="18"/>
  <c r="S7" i="18"/>
  <c r="E36" i="18"/>
  <c r="V9" i="18"/>
  <c r="G36" i="18" s="1"/>
  <c r="U9" i="18"/>
  <c r="F36" i="18" s="1"/>
  <c r="V37" i="1"/>
  <c r="X37" i="1" s="1"/>
  <c r="C10" i="19"/>
  <c r="W37" i="18"/>
  <c r="D31" i="19"/>
  <c r="G31" i="19" s="1"/>
  <c r="D42" i="1"/>
  <c r="T15" i="1"/>
  <c r="S16" i="1"/>
  <c r="V36" i="5"/>
  <c r="X36" i="5" s="1"/>
  <c r="C114" i="19"/>
  <c r="D36" i="18"/>
  <c r="S8" i="1"/>
  <c r="D36" i="1" s="1"/>
  <c r="T9" i="1"/>
  <c r="C58" i="19"/>
  <c r="V43" i="10"/>
  <c r="X43" i="10" s="1"/>
  <c r="V14" i="1"/>
  <c r="G41" i="1" s="1"/>
  <c r="E41" i="1"/>
  <c r="U14" i="1"/>
  <c r="F41" i="1" s="1"/>
  <c r="W40" i="1"/>
  <c r="D13" i="19"/>
  <c r="G13" i="19" s="1"/>
  <c r="V41" i="1"/>
  <c r="X41" i="1" s="1"/>
  <c r="C14" i="19"/>
  <c r="D57" i="19"/>
  <c r="G57" i="19" s="1"/>
  <c r="W42" i="10"/>
  <c r="T8" i="5"/>
  <c r="S7" i="5"/>
  <c r="D35" i="5" s="1"/>
  <c r="G32" i="19"/>
  <c r="E37" i="1"/>
  <c r="U10" i="1"/>
  <c r="F37" i="1" s="1"/>
  <c r="V10" i="1"/>
  <c r="G37" i="1" s="1"/>
  <c r="E43" i="10"/>
  <c r="V16" i="10"/>
  <c r="G43" i="10" s="1"/>
  <c r="U16" i="10"/>
  <c r="F43" i="10" s="1"/>
  <c r="W37" i="5"/>
  <c r="D115" i="19"/>
  <c r="G115" i="19" s="1"/>
  <c r="V9" i="5"/>
  <c r="G36" i="5" s="1"/>
  <c r="E36" i="5"/>
  <c r="U9" i="5"/>
  <c r="F36" i="5" s="1"/>
  <c r="S7" i="13"/>
  <c r="D37" i="13"/>
  <c r="V37" i="13" s="1"/>
  <c r="X37" i="13" s="1"/>
  <c r="T8" i="13"/>
  <c r="U16" i="14" l="1"/>
  <c r="F43" i="14" s="1"/>
  <c r="V16" i="14"/>
  <c r="G43" i="14" s="1"/>
  <c r="E43" i="14"/>
  <c r="S6" i="14"/>
  <c r="D34" i="14" s="1"/>
  <c r="T7" i="14"/>
  <c r="C100" i="19"/>
  <c r="V43" i="14"/>
  <c r="X43" i="14" s="1"/>
  <c r="D78" i="19"/>
  <c r="W42" i="7"/>
  <c r="V35" i="10"/>
  <c r="X35" i="10" s="1"/>
  <c r="C50" i="19"/>
  <c r="V37" i="7"/>
  <c r="X37" i="7" s="1"/>
  <c r="C73" i="19"/>
  <c r="G73" i="19" s="1"/>
  <c r="G94" i="19"/>
  <c r="V36" i="7"/>
  <c r="X36" i="7" s="1"/>
  <c r="C72" i="19"/>
  <c r="E34" i="10"/>
  <c r="V7" i="10"/>
  <c r="G34" i="10" s="1"/>
  <c r="U7" i="10"/>
  <c r="F34" i="10" s="1"/>
  <c r="U8" i="14"/>
  <c r="F35" i="14" s="1"/>
  <c r="E35" i="14"/>
  <c r="V8" i="14"/>
  <c r="G35" i="14" s="1"/>
  <c r="C121" i="19"/>
  <c r="V43" i="5"/>
  <c r="X43" i="5" s="1"/>
  <c r="T17" i="7"/>
  <c r="D44" i="7"/>
  <c r="S18" i="7"/>
  <c r="V43" i="18"/>
  <c r="X43" i="18" s="1"/>
  <c r="C37" i="19"/>
  <c r="T8" i="7"/>
  <c r="S7" i="7"/>
  <c r="D35" i="7"/>
  <c r="E44" i="13"/>
  <c r="W44" i="13" s="1"/>
  <c r="V15" i="13"/>
  <c r="G44" i="13" s="1"/>
  <c r="U15" i="13"/>
  <c r="F44" i="13" s="1"/>
  <c r="W42" i="5"/>
  <c r="D120" i="19"/>
  <c r="G120" i="19" s="1"/>
  <c r="G78" i="19"/>
  <c r="D93" i="19"/>
  <c r="W36" i="14"/>
  <c r="S5" i="10"/>
  <c r="D33" i="10"/>
  <c r="T6" i="10"/>
  <c r="C79" i="19"/>
  <c r="V43" i="7"/>
  <c r="X43" i="7" s="1"/>
  <c r="V16" i="7"/>
  <c r="G43" i="7" s="1"/>
  <c r="E43" i="7"/>
  <c r="U16" i="7"/>
  <c r="F43" i="7" s="1"/>
  <c r="D99" i="19"/>
  <c r="W42" i="14"/>
  <c r="D44" i="18"/>
  <c r="T17" i="18"/>
  <c r="S18" i="18"/>
  <c r="G36" i="19"/>
  <c r="W37" i="7"/>
  <c r="D73" i="19"/>
  <c r="V16" i="18"/>
  <c r="G43" i="18" s="1"/>
  <c r="E43" i="18"/>
  <c r="U16" i="18"/>
  <c r="F43" i="18" s="1"/>
  <c r="D45" i="13"/>
  <c r="V45" i="13" s="1"/>
  <c r="X45" i="13" s="1"/>
  <c r="S17" i="13"/>
  <c r="T16" i="13"/>
  <c r="T17" i="5"/>
  <c r="D44" i="5"/>
  <c r="S18" i="5"/>
  <c r="G93" i="19"/>
  <c r="W42" i="18"/>
  <c r="D36" i="19"/>
  <c r="D50" i="19"/>
  <c r="W35" i="10"/>
  <c r="E36" i="7"/>
  <c r="U9" i="7"/>
  <c r="F36" i="7" s="1"/>
  <c r="V9" i="7"/>
  <c r="G36" i="7" s="1"/>
  <c r="G99" i="19"/>
  <c r="D35" i="14"/>
  <c r="S18" i="14"/>
  <c r="T17" i="14"/>
  <c r="D44" i="14"/>
  <c r="U16" i="5"/>
  <c r="F43" i="5" s="1"/>
  <c r="E43" i="5"/>
  <c r="V16" i="5"/>
  <c r="G43" i="5" s="1"/>
  <c r="D34" i="10"/>
  <c r="V44" i="10"/>
  <c r="X44" i="10" s="1"/>
  <c r="C59" i="19"/>
  <c r="U8" i="13"/>
  <c r="F37" i="13" s="1"/>
  <c r="V8" i="13"/>
  <c r="G37" i="13" s="1"/>
  <c r="E37" i="13"/>
  <c r="W37" i="13" s="1"/>
  <c r="D43" i="1"/>
  <c r="T16" i="1"/>
  <c r="S17" i="1"/>
  <c r="S19" i="10"/>
  <c r="T18" i="10"/>
  <c r="D45" i="10"/>
  <c r="E42" i="1"/>
  <c r="V15" i="1"/>
  <c r="G42" i="1" s="1"/>
  <c r="U15" i="1"/>
  <c r="F42" i="1" s="1"/>
  <c r="D30" i="19"/>
  <c r="W36" i="18"/>
  <c r="S6" i="18"/>
  <c r="D34" i="18" s="1"/>
  <c r="T7" i="18"/>
  <c r="U17" i="10"/>
  <c r="F44" i="10" s="1"/>
  <c r="V17" i="10"/>
  <c r="G44" i="10" s="1"/>
  <c r="E44" i="10"/>
  <c r="E35" i="5"/>
  <c r="U8" i="5"/>
  <c r="F35" i="5" s="1"/>
  <c r="V8" i="5"/>
  <c r="G35" i="5" s="1"/>
  <c r="D14" i="19"/>
  <c r="G14" i="19" s="1"/>
  <c r="W41" i="1"/>
  <c r="C15" i="19"/>
  <c r="V42" i="1"/>
  <c r="X42" i="1" s="1"/>
  <c r="D35" i="18"/>
  <c r="E36" i="1"/>
  <c r="U9" i="1"/>
  <c r="F36" i="1" s="1"/>
  <c r="V9" i="1"/>
  <c r="G36" i="1" s="1"/>
  <c r="E35" i="18"/>
  <c r="V8" i="18"/>
  <c r="G35" i="18" s="1"/>
  <c r="U8" i="18"/>
  <c r="F35" i="18" s="1"/>
  <c r="D58" i="19"/>
  <c r="G58" i="19" s="1"/>
  <c r="W43" i="10"/>
  <c r="S6" i="13"/>
  <c r="D36" i="13" s="1"/>
  <c r="V36" i="13" s="1"/>
  <c r="X36" i="13" s="1"/>
  <c r="T7" i="13"/>
  <c r="V35" i="5"/>
  <c r="X35" i="5" s="1"/>
  <c r="C113" i="19"/>
  <c r="C9" i="19"/>
  <c r="V36" i="1"/>
  <c r="X36" i="1" s="1"/>
  <c r="D114" i="19"/>
  <c r="G114" i="19" s="1"/>
  <c r="W36" i="5"/>
  <c r="W37" i="1"/>
  <c r="D10" i="19"/>
  <c r="G10" i="19" s="1"/>
  <c r="S6" i="5"/>
  <c r="D34" i="5" s="1"/>
  <c r="T7" i="5"/>
  <c r="T8" i="1"/>
  <c r="S7" i="1"/>
  <c r="C30" i="19"/>
  <c r="G30" i="19" s="1"/>
  <c r="V36" i="18"/>
  <c r="X36" i="18" s="1"/>
  <c r="G50" i="19" l="1"/>
  <c r="C91" i="19"/>
  <c r="V34" i="14"/>
  <c r="X34" i="14" s="1"/>
  <c r="S18" i="13"/>
  <c r="D46" i="13"/>
  <c r="V46" i="13" s="1"/>
  <c r="X46" i="13" s="1"/>
  <c r="T17" i="13"/>
  <c r="S19" i="18"/>
  <c r="T18" i="18"/>
  <c r="D45" i="18"/>
  <c r="D92" i="19"/>
  <c r="W35" i="14"/>
  <c r="U7" i="14"/>
  <c r="F34" i="14" s="1"/>
  <c r="V7" i="14"/>
  <c r="G34" i="14" s="1"/>
  <c r="E34" i="14"/>
  <c r="E44" i="14"/>
  <c r="U17" i="14"/>
  <c r="F44" i="14" s="1"/>
  <c r="V17" i="14"/>
  <c r="G44" i="14" s="1"/>
  <c r="T18" i="14"/>
  <c r="S19" i="14"/>
  <c r="D45" i="14"/>
  <c r="V17" i="18"/>
  <c r="G44" i="18" s="1"/>
  <c r="U17" i="18"/>
  <c r="F44" i="18" s="1"/>
  <c r="E44" i="18"/>
  <c r="C101" i="19"/>
  <c r="V44" i="14"/>
  <c r="X44" i="14" s="1"/>
  <c r="U8" i="7"/>
  <c r="F35" i="7" s="1"/>
  <c r="V8" i="7"/>
  <c r="G35" i="7" s="1"/>
  <c r="E35" i="7"/>
  <c r="C92" i="19"/>
  <c r="G92" i="19" s="1"/>
  <c r="V35" i="14"/>
  <c r="X35" i="14" s="1"/>
  <c r="E33" i="10"/>
  <c r="U6" i="10"/>
  <c r="F33" i="10" s="1"/>
  <c r="V6" i="10"/>
  <c r="G33" i="10" s="1"/>
  <c r="D45" i="7"/>
  <c r="S19" i="7"/>
  <c r="T18" i="7"/>
  <c r="D33" i="14"/>
  <c r="S5" i="14"/>
  <c r="T6" i="14"/>
  <c r="D37" i="19"/>
  <c r="G37" i="19" s="1"/>
  <c r="W43" i="18"/>
  <c r="C48" i="19"/>
  <c r="V33" i="10"/>
  <c r="X33" i="10" s="1"/>
  <c r="C80" i="19"/>
  <c r="V44" i="7"/>
  <c r="X44" i="7" s="1"/>
  <c r="C38" i="19"/>
  <c r="V44" i="18"/>
  <c r="X44" i="18" s="1"/>
  <c r="V34" i="10"/>
  <c r="X34" i="10" s="1"/>
  <c r="C49" i="19"/>
  <c r="S19" i="5"/>
  <c r="T18" i="5"/>
  <c r="D45" i="5"/>
  <c r="T5" i="10"/>
  <c r="S4" i="10"/>
  <c r="D32" i="10" s="1"/>
  <c r="V17" i="7"/>
  <c r="G44" i="7" s="1"/>
  <c r="E44" i="7"/>
  <c r="U17" i="7"/>
  <c r="F44" i="7" s="1"/>
  <c r="D49" i="19"/>
  <c r="G49" i="19" s="1"/>
  <c r="W34" i="10"/>
  <c r="W43" i="14"/>
  <c r="D100" i="19"/>
  <c r="G100" i="19" s="1"/>
  <c r="V16" i="13"/>
  <c r="G45" i="13" s="1"/>
  <c r="U16" i="13"/>
  <c r="F45" i="13" s="1"/>
  <c r="E45" i="13"/>
  <c r="W45" i="13" s="1"/>
  <c r="D121" i="19"/>
  <c r="G121" i="19" s="1"/>
  <c r="W43" i="5"/>
  <c r="V44" i="5"/>
  <c r="X44" i="5" s="1"/>
  <c r="C122" i="19"/>
  <c r="V35" i="7"/>
  <c r="X35" i="7" s="1"/>
  <c r="C71" i="19"/>
  <c r="G72" i="19"/>
  <c r="D72" i="19"/>
  <c r="W36" i="7"/>
  <c r="U17" i="5"/>
  <c r="F44" i="5" s="1"/>
  <c r="E44" i="5"/>
  <c r="V17" i="5"/>
  <c r="G44" i="5" s="1"/>
  <c r="D79" i="19"/>
  <c r="G79" i="19" s="1"/>
  <c r="W43" i="7"/>
  <c r="D34" i="7"/>
  <c r="T7" i="7"/>
  <c r="S6" i="7"/>
  <c r="V34" i="18"/>
  <c r="X34" i="18" s="1"/>
  <c r="C28" i="19"/>
  <c r="C112" i="19"/>
  <c r="V34" i="5"/>
  <c r="X34" i="5" s="1"/>
  <c r="U8" i="1"/>
  <c r="F35" i="1" s="1"/>
  <c r="E35" i="1"/>
  <c r="V8" i="1"/>
  <c r="G35" i="1" s="1"/>
  <c r="E36" i="13"/>
  <c r="W36" i="13" s="1"/>
  <c r="U7" i="13"/>
  <c r="F36" i="13" s="1"/>
  <c r="V7" i="13"/>
  <c r="G36" i="13" s="1"/>
  <c r="U7" i="5"/>
  <c r="F34" i="5" s="1"/>
  <c r="V7" i="5"/>
  <c r="G34" i="5" s="1"/>
  <c r="E34" i="5"/>
  <c r="C29" i="19"/>
  <c r="V35" i="18"/>
  <c r="X35" i="18" s="1"/>
  <c r="V7" i="18"/>
  <c r="G34" i="18" s="1"/>
  <c r="E34" i="18"/>
  <c r="U7" i="18"/>
  <c r="F34" i="18" s="1"/>
  <c r="D44" i="1"/>
  <c r="S18" i="1"/>
  <c r="T17" i="1"/>
  <c r="S6" i="1"/>
  <c r="T7" i="1"/>
  <c r="D35" i="1"/>
  <c r="S5" i="13"/>
  <c r="T6" i="13"/>
  <c r="D35" i="13"/>
  <c r="V35" i="13" s="1"/>
  <c r="X35" i="13" s="1"/>
  <c r="D29" i="19"/>
  <c r="W35" i="18"/>
  <c r="D15" i="19"/>
  <c r="G15" i="19" s="1"/>
  <c r="W42" i="1"/>
  <c r="E43" i="1"/>
  <c r="V16" i="1"/>
  <c r="G43" i="1" s="1"/>
  <c r="U16" i="1"/>
  <c r="F43" i="1" s="1"/>
  <c r="S5" i="5"/>
  <c r="T6" i="5"/>
  <c r="V45" i="10"/>
  <c r="X45" i="10" s="1"/>
  <c r="C60" i="19"/>
  <c r="V43" i="1"/>
  <c r="X43" i="1" s="1"/>
  <c r="C16" i="19"/>
  <c r="W35" i="5"/>
  <c r="D113" i="19"/>
  <c r="G113" i="19" s="1"/>
  <c r="E45" i="10"/>
  <c r="U18" i="10"/>
  <c r="F45" i="10" s="1"/>
  <c r="V18" i="10"/>
  <c r="G45" i="10" s="1"/>
  <c r="W36" i="1"/>
  <c r="D9" i="19"/>
  <c r="G9" i="19" s="1"/>
  <c r="D33" i="18"/>
  <c r="S5" i="18"/>
  <c r="T6" i="18"/>
  <c r="W44" i="10"/>
  <c r="D59" i="19"/>
  <c r="G59" i="19" s="1"/>
  <c r="D46" i="10"/>
  <c r="T19" i="10"/>
  <c r="S20" i="10"/>
  <c r="G29" i="19" l="1"/>
  <c r="V32" i="10"/>
  <c r="X32" i="10" s="1"/>
  <c r="C47" i="19"/>
  <c r="E33" i="14"/>
  <c r="V6" i="14"/>
  <c r="G33" i="14" s="1"/>
  <c r="U6" i="14"/>
  <c r="F33" i="14" s="1"/>
  <c r="D48" i="19"/>
  <c r="G48" i="19" s="1"/>
  <c r="W33" i="10"/>
  <c r="W44" i="18"/>
  <c r="D38" i="19"/>
  <c r="G38" i="19" s="1"/>
  <c r="W44" i="14"/>
  <c r="D101" i="19"/>
  <c r="U18" i="18"/>
  <c r="F45" i="18" s="1"/>
  <c r="E45" i="18"/>
  <c r="V18" i="18"/>
  <c r="G45" i="18" s="1"/>
  <c r="S3" i="10"/>
  <c r="T4" i="10"/>
  <c r="T5" i="14"/>
  <c r="S4" i="14"/>
  <c r="D32" i="14"/>
  <c r="S20" i="18"/>
  <c r="D46" i="18"/>
  <c r="T19" i="18"/>
  <c r="V45" i="18"/>
  <c r="X45" i="18" s="1"/>
  <c r="C39" i="19"/>
  <c r="U5" i="10"/>
  <c r="F32" i="10" s="1"/>
  <c r="E32" i="10"/>
  <c r="V5" i="10"/>
  <c r="G32" i="10" s="1"/>
  <c r="C90" i="19"/>
  <c r="V33" i="14"/>
  <c r="X33" i="14" s="1"/>
  <c r="D91" i="19"/>
  <c r="G91" i="19" s="1"/>
  <c r="W34" i="14"/>
  <c r="V17" i="13"/>
  <c r="G46" i="13" s="1"/>
  <c r="U17" i="13"/>
  <c r="F46" i="13" s="1"/>
  <c r="E46" i="13"/>
  <c r="W46" i="13" s="1"/>
  <c r="W44" i="5"/>
  <c r="D122" i="19"/>
  <c r="G122" i="19" s="1"/>
  <c r="C123" i="19"/>
  <c r="V45" i="5"/>
  <c r="X45" i="5" s="1"/>
  <c r="U18" i="7"/>
  <c r="F45" i="7" s="1"/>
  <c r="V18" i="7"/>
  <c r="G45" i="7" s="1"/>
  <c r="E45" i="7"/>
  <c r="W35" i="7"/>
  <c r="D71" i="19"/>
  <c r="G71" i="19" s="1"/>
  <c r="C102" i="19"/>
  <c r="V45" i="14"/>
  <c r="X45" i="14" s="1"/>
  <c r="G101" i="19"/>
  <c r="V18" i="5"/>
  <c r="G45" i="5" s="1"/>
  <c r="U18" i="5"/>
  <c r="F45" i="5" s="1"/>
  <c r="E45" i="5"/>
  <c r="T19" i="7"/>
  <c r="D46" i="7"/>
  <c r="S20" i="7"/>
  <c r="S20" i="14"/>
  <c r="D46" i="14"/>
  <c r="T19" i="14"/>
  <c r="S19" i="13"/>
  <c r="D47" i="13"/>
  <c r="V47" i="13" s="1"/>
  <c r="X47" i="13" s="1"/>
  <c r="T18" i="13"/>
  <c r="T6" i="7"/>
  <c r="S5" i="7"/>
  <c r="T19" i="5"/>
  <c r="S20" i="5"/>
  <c r="D46" i="5"/>
  <c r="V45" i="7"/>
  <c r="X45" i="7" s="1"/>
  <c r="C81" i="19"/>
  <c r="E45" i="14"/>
  <c r="U18" i="14"/>
  <c r="F45" i="14" s="1"/>
  <c r="V18" i="14"/>
  <c r="G45" i="14" s="1"/>
  <c r="V34" i="7"/>
  <c r="X34" i="7" s="1"/>
  <c r="C70" i="19"/>
  <c r="U7" i="7"/>
  <c r="F34" i="7" s="1"/>
  <c r="E34" i="7"/>
  <c r="V7" i="7"/>
  <c r="G34" i="7" s="1"/>
  <c r="D80" i="19"/>
  <c r="G80" i="19" s="1"/>
  <c r="W44" i="7"/>
  <c r="W45" i="10"/>
  <c r="D60" i="19"/>
  <c r="G60" i="19" s="1"/>
  <c r="S4" i="13"/>
  <c r="D34" i="13" s="1"/>
  <c r="V34" i="13" s="1"/>
  <c r="X34" i="13" s="1"/>
  <c r="T5" i="13"/>
  <c r="C61" i="19"/>
  <c r="V46" i="10"/>
  <c r="X46" i="10" s="1"/>
  <c r="S5" i="1"/>
  <c r="T6" i="1"/>
  <c r="V6" i="18"/>
  <c r="G33" i="18" s="1"/>
  <c r="U6" i="18"/>
  <c r="F33" i="18" s="1"/>
  <c r="E33" i="18"/>
  <c r="T5" i="18"/>
  <c r="S4" i="18"/>
  <c r="D32" i="18" s="1"/>
  <c r="U6" i="5"/>
  <c r="F33" i="5" s="1"/>
  <c r="E33" i="5"/>
  <c r="V6" i="5"/>
  <c r="G33" i="5" s="1"/>
  <c r="S4" i="5"/>
  <c r="D32" i="5" s="1"/>
  <c r="T5" i="5"/>
  <c r="D28" i="19"/>
  <c r="G28" i="19" s="1"/>
  <c r="W34" i="18"/>
  <c r="V33" i="18"/>
  <c r="X33" i="18" s="1"/>
  <c r="C27" i="19"/>
  <c r="C8" i="19"/>
  <c r="V35" i="1"/>
  <c r="X35" i="1" s="1"/>
  <c r="V19" i="10"/>
  <c r="G46" i="10" s="1"/>
  <c r="U19" i="10"/>
  <c r="F46" i="10" s="1"/>
  <c r="E46" i="10"/>
  <c r="V7" i="1"/>
  <c r="G34" i="1" s="1"/>
  <c r="U7" i="1"/>
  <c r="F34" i="1" s="1"/>
  <c r="E34" i="1"/>
  <c r="G16" i="19"/>
  <c r="W43" i="1"/>
  <c r="D16" i="19"/>
  <c r="E44" i="1"/>
  <c r="U17" i="1"/>
  <c r="F44" i="1" s="1"/>
  <c r="V17" i="1"/>
  <c r="G44" i="1" s="1"/>
  <c r="V6" i="13"/>
  <c r="G35" i="13" s="1"/>
  <c r="E35" i="13"/>
  <c r="W35" i="13" s="1"/>
  <c r="U6" i="13"/>
  <c r="F35" i="13" s="1"/>
  <c r="D8" i="19"/>
  <c r="W35" i="1"/>
  <c r="D45" i="1"/>
  <c r="T18" i="1"/>
  <c r="S19" i="1"/>
  <c r="W34" i="5"/>
  <c r="D112" i="19"/>
  <c r="G112" i="19" s="1"/>
  <c r="S21" i="10"/>
  <c r="D47" i="10"/>
  <c r="T20" i="10"/>
  <c r="D33" i="5"/>
  <c r="D34" i="1"/>
  <c r="V44" i="1"/>
  <c r="X44" i="1" s="1"/>
  <c r="C17" i="19"/>
  <c r="V19" i="5" l="1"/>
  <c r="G46" i="5" s="1"/>
  <c r="U19" i="5"/>
  <c r="F46" i="5" s="1"/>
  <c r="E46" i="5"/>
  <c r="C103" i="19"/>
  <c r="V46" i="14"/>
  <c r="X46" i="14" s="1"/>
  <c r="E46" i="18"/>
  <c r="V19" i="18"/>
  <c r="G46" i="18" s="1"/>
  <c r="U19" i="18"/>
  <c r="F46" i="18" s="1"/>
  <c r="S4" i="7"/>
  <c r="D32" i="7"/>
  <c r="T5" i="7"/>
  <c r="D47" i="14"/>
  <c r="S21" i="14"/>
  <c r="T20" i="14"/>
  <c r="G123" i="19"/>
  <c r="C40" i="19"/>
  <c r="V46" i="18"/>
  <c r="X46" i="18" s="1"/>
  <c r="D39" i="19"/>
  <c r="G39" i="19" s="1"/>
  <c r="W45" i="18"/>
  <c r="S21" i="5"/>
  <c r="T20" i="5"/>
  <c r="D47" i="5"/>
  <c r="S2" i="10"/>
  <c r="D30" i="10"/>
  <c r="D31" i="10"/>
  <c r="T3" i="10"/>
  <c r="E33" i="7"/>
  <c r="V6" i="7"/>
  <c r="G33" i="7" s="1"/>
  <c r="U6" i="7"/>
  <c r="F33" i="7" s="1"/>
  <c r="D47" i="7"/>
  <c r="T20" i="7"/>
  <c r="S21" i="7"/>
  <c r="S21" i="18"/>
  <c r="T20" i="18"/>
  <c r="D47" i="18"/>
  <c r="V19" i="14"/>
  <c r="G46" i="14" s="1"/>
  <c r="U19" i="14"/>
  <c r="F46" i="14" s="1"/>
  <c r="E46" i="14"/>
  <c r="D102" i="19"/>
  <c r="G102" i="19" s="1"/>
  <c r="W45" i="14"/>
  <c r="D33" i="7"/>
  <c r="V46" i="7"/>
  <c r="X46" i="7" s="1"/>
  <c r="C82" i="19"/>
  <c r="V32" i="14"/>
  <c r="X32" i="14" s="1"/>
  <c r="C89" i="19"/>
  <c r="D90" i="19"/>
  <c r="G90" i="19" s="1"/>
  <c r="W33" i="14"/>
  <c r="E47" i="13"/>
  <c r="W47" i="13" s="1"/>
  <c r="V18" i="13"/>
  <c r="G47" i="13" s="1"/>
  <c r="U18" i="13"/>
  <c r="F47" i="13" s="1"/>
  <c r="E46" i="7"/>
  <c r="U19" i="7"/>
  <c r="F46" i="7" s="1"/>
  <c r="V19" i="7"/>
  <c r="G46" i="7" s="1"/>
  <c r="W32" i="10"/>
  <c r="D47" i="19"/>
  <c r="G47" i="19" s="1"/>
  <c r="T4" i="14"/>
  <c r="S3" i="14"/>
  <c r="W34" i="7"/>
  <c r="D70" i="19"/>
  <c r="G70" i="19" s="1"/>
  <c r="W45" i="5"/>
  <c r="D123" i="19"/>
  <c r="D81" i="19"/>
  <c r="G81" i="19" s="1"/>
  <c r="W45" i="7"/>
  <c r="E32" i="14"/>
  <c r="V5" i="14"/>
  <c r="G32" i="14" s="1"/>
  <c r="U5" i="14"/>
  <c r="F32" i="14" s="1"/>
  <c r="V46" i="5"/>
  <c r="X46" i="5" s="1"/>
  <c r="C124" i="19"/>
  <c r="T19" i="13"/>
  <c r="D48" i="13"/>
  <c r="V48" i="13" s="1"/>
  <c r="X48" i="13" s="1"/>
  <c r="S20" i="13"/>
  <c r="U4" i="10"/>
  <c r="F31" i="10" s="1"/>
  <c r="V4" i="10"/>
  <c r="G31" i="10" s="1"/>
  <c r="E31" i="10"/>
  <c r="C26" i="19"/>
  <c r="V32" i="18"/>
  <c r="X32" i="18" s="1"/>
  <c r="D27" i="19"/>
  <c r="G27" i="19" s="1"/>
  <c r="W33" i="18"/>
  <c r="G8" i="19"/>
  <c r="V5" i="13"/>
  <c r="G34" i="13" s="1"/>
  <c r="U5" i="13"/>
  <c r="F34" i="13" s="1"/>
  <c r="E34" i="13"/>
  <c r="W34" i="13" s="1"/>
  <c r="T19" i="1"/>
  <c r="D46" i="1"/>
  <c r="S20" i="1"/>
  <c r="W34" i="1"/>
  <c r="D7" i="19"/>
  <c r="S4" i="1"/>
  <c r="D32" i="1" s="1"/>
  <c r="T5" i="1"/>
  <c r="C62" i="19"/>
  <c r="V47" i="10"/>
  <c r="X47" i="10" s="1"/>
  <c r="W46" i="10"/>
  <c r="D61" i="19"/>
  <c r="G61" i="19" s="1"/>
  <c r="U5" i="5"/>
  <c r="F32" i="5" s="1"/>
  <c r="V5" i="5"/>
  <c r="G32" i="5" s="1"/>
  <c r="E32" i="5"/>
  <c r="S3" i="13"/>
  <c r="D33" i="13" s="1"/>
  <c r="V33" i="13" s="1"/>
  <c r="X33" i="13" s="1"/>
  <c r="T4" i="13"/>
  <c r="V18" i="1"/>
  <c r="G45" i="1" s="1"/>
  <c r="E45" i="1"/>
  <c r="U18" i="1"/>
  <c r="F45" i="1" s="1"/>
  <c r="V20" i="10"/>
  <c r="G47" i="10" s="1"/>
  <c r="U20" i="10"/>
  <c r="F47" i="10" s="1"/>
  <c r="E47" i="10"/>
  <c r="T21" i="10"/>
  <c r="D48" i="10"/>
  <c r="S22" i="10"/>
  <c r="V32" i="5"/>
  <c r="X32" i="5" s="1"/>
  <c r="C110" i="19"/>
  <c r="W33" i="5"/>
  <c r="D111" i="19"/>
  <c r="S3" i="18"/>
  <c r="T4" i="18"/>
  <c r="D31" i="18"/>
  <c r="S3" i="5"/>
  <c r="D31" i="5" s="1"/>
  <c r="T4" i="5"/>
  <c r="U5" i="18"/>
  <c r="F32" i="18" s="1"/>
  <c r="V5" i="18"/>
  <c r="G32" i="18" s="1"/>
  <c r="E32" i="18"/>
  <c r="V45" i="1"/>
  <c r="X45" i="1" s="1"/>
  <c r="C18" i="19"/>
  <c r="C7" i="19"/>
  <c r="V34" i="1"/>
  <c r="X34" i="1" s="1"/>
  <c r="D17" i="19"/>
  <c r="G17" i="19" s="1"/>
  <c r="W44" i="1"/>
  <c r="C111" i="19"/>
  <c r="V33" i="5"/>
  <c r="X33" i="5" s="1"/>
  <c r="U6" i="1"/>
  <c r="F33" i="1" s="1"/>
  <c r="V6" i="1"/>
  <c r="G33" i="1" s="1"/>
  <c r="E33" i="1"/>
  <c r="D33" i="1"/>
  <c r="G7" i="19" l="1"/>
  <c r="S22" i="7"/>
  <c r="T21" i="7"/>
  <c r="D48" i="7"/>
  <c r="U20" i="7"/>
  <c r="F47" i="7" s="1"/>
  <c r="V20" i="7"/>
  <c r="G47" i="7" s="1"/>
  <c r="E47" i="7"/>
  <c r="W31" i="10"/>
  <c r="D46" i="19"/>
  <c r="D82" i="19"/>
  <c r="G82" i="19" s="1"/>
  <c r="W46" i="7"/>
  <c r="V47" i="7"/>
  <c r="X47" i="7" s="1"/>
  <c r="C83" i="19"/>
  <c r="V47" i="5"/>
  <c r="X47" i="5" s="1"/>
  <c r="C125" i="19"/>
  <c r="V20" i="14"/>
  <c r="G47" i="14" s="1"/>
  <c r="E47" i="14"/>
  <c r="U20" i="14"/>
  <c r="F47" i="14" s="1"/>
  <c r="W46" i="18"/>
  <c r="D40" i="19"/>
  <c r="G40" i="19" s="1"/>
  <c r="C45" i="19"/>
  <c r="V30" i="10"/>
  <c r="X30" i="10" s="1"/>
  <c r="T2" i="10"/>
  <c r="D29" i="10"/>
  <c r="T3" i="14"/>
  <c r="S2" i="14"/>
  <c r="D30" i="14"/>
  <c r="U20" i="5"/>
  <c r="F47" i="5" s="1"/>
  <c r="V20" i="5"/>
  <c r="G47" i="5" s="1"/>
  <c r="E47" i="5"/>
  <c r="S22" i="14"/>
  <c r="T21" i="14"/>
  <c r="D48" i="14"/>
  <c r="W32" i="14"/>
  <c r="D89" i="19"/>
  <c r="G89" i="19" s="1"/>
  <c r="U4" i="14"/>
  <c r="F31" i="14" s="1"/>
  <c r="E31" i="14"/>
  <c r="V4" i="14"/>
  <c r="G31" i="14" s="1"/>
  <c r="V20" i="18"/>
  <c r="G47" i="18" s="1"/>
  <c r="U20" i="18"/>
  <c r="F47" i="18" s="1"/>
  <c r="E47" i="18"/>
  <c r="T21" i="5"/>
  <c r="D48" i="5"/>
  <c r="S22" i="5"/>
  <c r="C104" i="19"/>
  <c r="V47" i="14"/>
  <c r="X47" i="14" s="1"/>
  <c r="D103" i="19"/>
  <c r="G103" i="19" s="1"/>
  <c r="W46" i="14"/>
  <c r="C41" i="19"/>
  <c r="V47" i="18"/>
  <c r="X47" i="18" s="1"/>
  <c r="D49" i="13"/>
  <c r="V49" i="13" s="1"/>
  <c r="X49" i="13" s="1"/>
  <c r="S21" i="13"/>
  <c r="T20" i="13"/>
  <c r="D31" i="14"/>
  <c r="V33" i="7"/>
  <c r="X33" i="7" s="1"/>
  <c r="C69" i="19"/>
  <c r="G69" i="19" s="1"/>
  <c r="D48" i="18"/>
  <c r="T21" i="18"/>
  <c r="S22" i="18"/>
  <c r="W33" i="7"/>
  <c r="D69" i="19"/>
  <c r="E32" i="7"/>
  <c r="V5" i="7"/>
  <c r="G32" i="7" s="1"/>
  <c r="U5" i="7"/>
  <c r="F32" i="7" s="1"/>
  <c r="D124" i="19"/>
  <c r="G124" i="19" s="1"/>
  <c r="W46" i="5"/>
  <c r="U3" i="10"/>
  <c r="F30" i="10" s="1"/>
  <c r="V3" i="10"/>
  <c r="G30" i="10" s="1"/>
  <c r="E30" i="10"/>
  <c r="V32" i="7"/>
  <c r="X32" i="7" s="1"/>
  <c r="C68" i="19"/>
  <c r="G111" i="19"/>
  <c r="V19" i="13"/>
  <c r="G48" i="13" s="1"/>
  <c r="E48" i="13"/>
  <c r="W48" i="13" s="1"/>
  <c r="U19" i="13"/>
  <c r="F48" i="13" s="1"/>
  <c r="C46" i="19"/>
  <c r="V31" i="10"/>
  <c r="X31" i="10" s="1"/>
  <c r="T4" i="7"/>
  <c r="S3" i="7"/>
  <c r="V32" i="1"/>
  <c r="X32" i="1" s="1"/>
  <c r="C5" i="19"/>
  <c r="C109" i="19"/>
  <c r="V31" i="5"/>
  <c r="X31" i="5" s="1"/>
  <c r="E46" i="1"/>
  <c r="V19" i="1"/>
  <c r="G46" i="1" s="1"/>
  <c r="U19" i="1"/>
  <c r="F46" i="1" s="1"/>
  <c r="U4" i="18"/>
  <c r="F31" i="18" s="1"/>
  <c r="V4" i="18"/>
  <c r="G31" i="18" s="1"/>
  <c r="E31" i="18"/>
  <c r="W45" i="1"/>
  <c r="D18" i="19"/>
  <c r="G18" i="19" s="1"/>
  <c r="S2" i="5"/>
  <c r="D30" i="5" s="1"/>
  <c r="T3" i="5"/>
  <c r="T3" i="18"/>
  <c r="S2" i="18"/>
  <c r="D30" i="18" s="1"/>
  <c r="D49" i="10"/>
  <c r="T22" i="10"/>
  <c r="U5" i="1"/>
  <c r="F32" i="1" s="1"/>
  <c r="E32" i="1"/>
  <c r="V5" i="1"/>
  <c r="G32" i="1" s="1"/>
  <c r="C6" i="19"/>
  <c r="V33" i="1"/>
  <c r="X33" i="1" s="1"/>
  <c r="C63" i="19"/>
  <c r="V48" i="10"/>
  <c r="X48" i="10" s="1"/>
  <c r="V31" i="18"/>
  <c r="X31" i="18" s="1"/>
  <c r="C25" i="19"/>
  <c r="C19" i="19"/>
  <c r="V46" i="1"/>
  <c r="X46" i="1" s="1"/>
  <c r="E33" i="13"/>
  <c r="W33" i="13" s="1"/>
  <c r="V4" i="13"/>
  <c r="G33" i="13" s="1"/>
  <c r="U4" i="13"/>
  <c r="F33" i="13" s="1"/>
  <c r="S3" i="1"/>
  <c r="D31" i="1" s="1"/>
  <c r="T4" i="1"/>
  <c r="E31" i="5"/>
  <c r="U4" i="5"/>
  <c r="F31" i="5" s="1"/>
  <c r="V4" i="5"/>
  <c r="G31" i="5" s="1"/>
  <c r="V21" i="10"/>
  <c r="G48" i="10" s="1"/>
  <c r="E48" i="10"/>
  <c r="U21" i="10"/>
  <c r="F48" i="10" s="1"/>
  <c r="W47" i="10"/>
  <c r="D62" i="19"/>
  <c r="G62" i="19" s="1"/>
  <c r="D6" i="19"/>
  <c r="W33" i="1"/>
  <c r="W32" i="18"/>
  <c r="D26" i="19"/>
  <c r="G26" i="19" s="1"/>
  <c r="S2" i="13"/>
  <c r="D32" i="13"/>
  <c r="V32" i="13" s="1"/>
  <c r="X32" i="13" s="1"/>
  <c r="T3" i="13"/>
  <c r="W32" i="5"/>
  <c r="D110" i="19"/>
  <c r="G110" i="19" s="1"/>
  <c r="D47" i="1"/>
  <c r="S21" i="1"/>
  <c r="T20" i="1"/>
  <c r="W47" i="14" l="1"/>
  <c r="D104" i="19"/>
  <c r="G104" i="19" s="1"/>
  <c r="U2" i="10"/>
  <c r="F29" i="10" s="1"/>
  <c r="V2" i="10"/>
  <c r="G29" i="10" s="1"/>
  <c r="E29" i="10"/>
  <c r="U4" i="7"/>
  <c r="F31" i="7" s="1"/>
  <c r="E31" i="7"/>
  <c r="V4" i="7"/>
  <c r="G31" i="7" s="1"/>
  <c r="D68" i="19"/>
  <c r="G68" i="19" s="1"/>
  <c r="W32" i="7"/>
  <c r="C88" i="19"/>
  <c r="V31" i="14"/>
  <c r="X31" i="14" s="1"/>
  <c r="D125" i="19"/>
  <c r="W47" i="5"/>
  <c r="G125" i="19"/>
  <c r="W47" i="7"/>
  <c r="D83" i="19"/>
  <c r="D45" i="19"/>
  <c r="G45" i="19" s="1"/>
  <c r="W30" i="10"/>
  <c r="V20" i="13"/>
  <c r="G49" i="13" s="1"/>
  <c r="E49" i="13"/>
  <c r="W49" i="13" s="1"/>
  <c r="U20" i="13"/>
  <c r="F49" i="13" s="1"/>
  <c r="D88" i="19"/>
  <c r="G88" i="19" s="1"/>
  <c r="W31" i="14"/>
  <c r="T22" i="14"/>
  <c r="D49" i="14"/>
  <c r="G46" i="19"/>
  <c r="T21" i="13"/>
  <c r="S22" i="13"/>
  <c r="D50" i="13"/>
  <c r="V50" i="13" s="1"/>
  <c r="X50" i="13" s="1"/>
  <c r="T22" i="5"/>
  <c r="D49" i="5"/>
  <c r="G83" i="19"/>
  <c r="E48" i="14"/>
  <c r="U21" i="14"/>
  <c r="F48" i="14" s="1"/>
  <c r="V21" i="14"/>
  <c r="G48" i="14" s="1"/>
  <c r="D31" i="7"/>
  <c r="S2" i="7"/>
  <c r="T3" i="7"/>
  <c r="D49" i="18"/>
  <c r="T22" i="18"/>
  <c r="C126" i="19"/>
  <c r="V48" i="5"/>
  <c r="X48" i="5" s="1"/>
  <c r="V30" i="14"/>
  <c r="X30" i="14" s="1"/>
  <c r="C87" i="19"/>
  <c r="V48" i="7"/>
  <c r="X48" i="7" s="1"/>
  <c r="C84" i="19"/>
  <c r="C44" i="19"/>
  <c r="V29" i="10"/>
  <c r="X29" i="10" s="1"/>
  <c r="V21" i="18"/>
  <c r="G48" i="18" s="1"/>
  <c r="E48" i="18"/>
  <c r="U21" i="18"/>
  <c r="F48" i="18" s="1"/>
  <c r="U21" i="5"/>
  <c r="F48" i="5" s="1"/>
  <c r="V21" i="5"/>
  <c r="G48" i="5" s="1"/>
  <c r="E48" i="5"/>
  <c r="D29" i="14"/>
  <c r="T2" i="14"/>
  <c r="U21" i="7"/>
  <c r="F48" i="7" s="1"/>
  <c r="E48" i="7"/>
  <c r="V21" i="7"/>
  <c r="G48" i="7" s="1"/>
  <c r="C42" i="19"/>
  <c r="V48" i="18"/>
  <c r="X48" i="18" s="1"/>
  <c r="W47" i="18"/>
  <c r="D41" i="19"/>
  <c r="G41" i="19" s="1"/>
  <c r="C105" i="19"/>
  <c r="V48" i="14"/>
  <c r="X48" i="14" s="1"/>
  <c r="U3" i="14"/>
  <c r="F30" i="14" s="1"/>
  <c r="V3" i="14"/>
  <c r="G30" i="14" s="1"/>
  <c r="E30" i="14"/>
  <c r="D49" i="7"/>
  <c r="T22" i="7"/>
  <c r="C108" i="19"/>
  <c r="V30" i="5"/>
  <c r="X30" i="5" s="1"/>
  <c r="C64" i="19"/>
  <c r="V49" i="10"/>
  <c r="D109" i="19"/>
  <c r="G109" i="19" s="1"/>
  <c r="W31" i="5"/>
  <c r="C24" i="19"/>
  <c r="V30" i="18"/>
  <c r="X30" i="18" s="1"/>
  <c r="U22" i="10"/>
  <c r="F49" i="10" s="1"/>
  <c r="E49" i="10"/>
  <c r="V22" i="10"/>
  <c r="G49" i="10" s="1"/>
  <c r="U3" i="13"/>
  <c r="F32" i="13" s="1"/>
  <c r="V3" i="13"/>
  <c r="G32" i="13" s="1"/>
  <c r="E32" i="13"/>
  <c r="W32" i="13" s="1"/>
  <c r="U4" i="1"/>
  <c r="F31" i="1" s="1"/>
  <c r="V4" i="1"/>
  <c r="G31" i="1" s="1"/>
  <c r="E31" i="1"/>
  <c r="D29" i="18"/>
  <c r="T2" i="18"/>
  <c r="D19" i="19"/>
  <c r="G19" i="19" s="1"/>
  <c r="W46" i="1"/>
  <c r="C4" i="19"/>
  <c r="V31" i="1"/>
  <c r="X31" i="1" s="1"/>
  <c r="G6" i="19"/>
  <c r="U20" i="1"/>
  <c r="F47" i="1" s="1"/>
  <c r="V20" i="1"/>
  <c r="G47" i="1" s="1"/>
  <c r="E47" i="1"/>
  <c r="E30" i="5"/>
  <c r="V3" i="5"/>
  <c r="G30" i="5" s="1"/>
  <c r="U3" i="5"/>
  <c r="F30" i="5" s="1"/>
  <c r="U3" i="18"/>
  <c r="F30" i="18" s="1"/>
  <c r="V3" i="18"/>
  <c r="G30" i="18" s="1"/>
  <c r="E30" i="18"/>
  <c r="D29" i="13"/>
  <c r="T2" i="13"/>
  <c r="S2" i="1"/>
  <c r="T3" i="1"/>
  <c r="D48" i="1"/>
  <c r="T21" i="1"/>
  <c r="S22" i="1"/>
  <c r="W48" i="10"/>
  <c r="D63" i="19"/>
  <c r="G63" i="19" s="1"/>
  <c r="D5" i="19"/>
  <c r="G5" i="19" s="1"/>
  <c r="W32" i="1"/>
  <c r="W31" i="18"/>
  <c r="D25" i="19"/>
  <c r="G25" i="19" s="1"/>
  <c r="C20" i="19"/>
  <c r="V47" i="1"/>
  <c r="X47" i="1" s="1"/>
  <c r="T2" i="5"/>
  <c r="D29" i="5"/>
  <c r="V49" i="5" l="1"/>
  <c r="C127" i="19"/>
  <c r="V22" i="5"/>
  <c r="G49" i="5" s="1"/>
  <c r="E49" i="5"/>
  <c r="U22" i="5"/>
  <c r="F49" i="5" s="1"/>
  <c r="W31" i="7"/>
  <c r="D67" i="19"/>
  <c r="C67" i="19"/>
  <c r="V31" i="7"/>
  <c r="X31" i="7" s="1"/>
  <c r="U3" i="7"/>
  <c r="F30" i="7" s="1"/>
  <c r="V3" i="7"/>
  <c r="G30" i="7" s="1"/>
  <c r="E30" i="7"/>
  <c r="D29" i="7"/>
  <c r="T2" i="7"/>
  <c r="D84" i="19"/>
  <c r="G84" i="19" s="1"/>
  <c r="W48" i="7"/>
  <c r="W48" i="18"/>
  <c r="D42" i="19"/>
  <c r="G42" i="19" s="1"/>
  <c r="D51" i="13"/>
  <c r="V51" i="13" s="1"/>
  <c r="T22" i="13"/>
  <c r="D44" i="19"/>
  <c r="G44" i="19" s="1"/>
  <c r="W29" i="10"/>
  <c r="D87" i="19"/>
  <c r="G87" i="19" s="1"/>
  <c r="W30" i="14"/>
  <c r="U21" i="13"/>
  <c r="F50" i="13" s="1"/>
  <c r="E50" i="13"/>
  <c r="W50" i="13" s="1"/>
  <c r="V21" i="13"/>
  <c r="G50" i="13" s="1"/>
  <c r="E29" i="14"/>
  <c r="U2" i="14"/>
  <c r="F29" i="14" s="1"/>
  <c r="V2" i="14"/>
  <c r="G29" i="14" s="1"/>
  <c r="U22" i="18"/>
  <c r="F49" i="18" s="1"/>
  <c r="E49" i="18"/>
  <c r="V22" i="18"/>
  <c r="G49" i="18" s="1"/>
  <c r="D105" i="19"/>
  <c r="G105" i="19" s="1"/>
  <c r="W48" i="14"/>
  <c r="U22" i="7"/>
  <c r="F49" i="7" s="1"/>
  <c r="E49" i="7"/>
  <c r="V22" i="7"/>
  <c r="G49" i="7" s="1"/>
  <c r="V29" i="14"/>
  <c r="X29" i="14" s="1"/>
  <c r="C86" i="19"/>
  <c r="C43" i="19"/>
  <c r="V49" i="18"/>
  <c r="C106" i="19"/>
  <c r="V49" i="14"/>
  <c r="V49" i="7"/>
  <c r="C85" i="19"/>
  <c r="D126" i="19"/>
  <c r="G126" i="19" s="1"/>
  <c r="W48" i="5"/>
  <c r="D30" i="7"/>
  <c r="V22" i="14"/>
  <c r="G49" i="14" s="1"/>
  <c r="E49" i="14"/>
  <c r="U22" i="14"/>
  <c r="F49" i="14" s="1"/>
  <c r="W47" i="1"/>
  <c r="D20" i="19"/>
  <c r="G20" i="19" s="1"/>
  <c r="U2" i="18"/>
  <c r="F29" i="18" s="1"/>
  <c r="V2" i="18"/>
  <c r="G29" i="18" s="1"/>
  <c r="E29" i="18"/>
  <c r="T22" i="1"/>
  <c r="D49" i="1"/>
  <c r="W30" i="18"/>
  <c r="D24" i="19"/>
  <c r="G24" i="19" s="1"/>
  <c r="C23" i="19"/>
  <c r="V29" i="18"/>
  <c r="X29" i="18" s="1"/>
  <c r="V2" i="13"/>
  <c r="G29" i="13" s="1"/>
  <c r="E29" i="13"/>
  <c r="W29" i="13" s="1"/>
  <c r="U2" i="13"/>
  <c r="F29" i="13" s="1"/>
  <c r="V21" i="1"/>
  <c r="G48" i="1" s="1"/>
  <c r="E48" i="1"/>
  <c r="U21" i="1"/>
  <c r="F48" i="1" s="1"/>
  <c r="W49" i="10"/>
  <c r="D64" i="19"/>
  <c r="G64" i="19" s="1"/>
  <c r="D29" i="1"/>
  <c r="T2" i="1"/>
  <c r="W30" i="5"/>
  <c r="D108" i="19"/>
  <c r="G108" i="19" s="1"/>
  <c r="C21" i="19"/>
  <c r="V48" i="1"/>
  <c r="X48" i="1" s="1"/>
  <c r="V3" i="1"/>
  <c r="G30" i="1" s="1"/>
  <c r="U3" i="1"/>
  <c r="F30" i="1" s="1"/>
  <c r="E30" i="1"/>
  <c r="D4" i="19"/>
  <c r="W31" i="1"/>
  <c r="C107" i="19"/>
  <c r="V29" i="5"/>
  <c r="X29" i="5" s="1"/>
  <c r="E29" i="5"/>
  <c r="V2" i="5"/>
  <c r="G29" i="5" s="1"/>
  <c r="U2" i="5"/>
  <c r="F29" i="5" s="1"/>
  <c r="D30" i="1"/>
  <c r="G4" i="19"/>
  <c r="D43" i="19" l="1"/>
  <c r="W49" i="18"/>
  <c r="G67" i="19"/>
  <c r="V2" i="7"/>
  <c r="G29" i="7" s="1"/>
  <c r="U2" i="7"/>
  <c r="F29" i="7" s="1"/>
  <c r="E29" i="7"/>
  <c r="D85" i="19"/>
  <c r="G85" i="19" s="1"/>
  <c r="W49" i="7"/>
  <c r="C65" i="19"/>
  <c r="V29" i="7"/>
  <c r="X29" i="7" s="1"/>
  <c r="D106" i="19"/>
  <c r="G106" i="19" s="1"/>
  <c r="W49" i="14"/>
  <c r="D86" i="19"/>
  <c r="G86" i="19" s="1"/>
  <c r="W29" i="14"/>
  <c r="E51" i="13"/>
  <c r="W51" i="13" s="1"/>
  <c r="U22" i="13"/>
  <c r="F51" i="13" s="1"/>
  <c r="V22" i="13"/>
  <c r="G51" i="13" s="1"/>
  <c r="D66" i="19"/>
  <c r="W30" i="7"/>
  <c r="D127" i="19"/>
  <c r="G127" i="19" s="1"/>
  <c r="W49" i="5"/>
  <c r="V30" i="7"/>
  <c r="X30" i="7" s="1"/>
  <c r="C66" i="19"/>
  <c r="G66" i="19" s="1"/>
  <c r="G43" i="19"/>
  <c r="C3" i="19"/>
  <c r="V30" i="1"/>
  <c r="X30" i="1" s="1"/>
  <c r="W30" i="1"/>
  <c r="D3" i="19"/>
  <c r="V49" i="1"/>
  <c r="C22" i="19"/>
  <c r="E29" i="1"/>
  <c r="V2" i="1"/>
  <c r="G29" i="1" s="1"/>
  <c r="U2" i="1"/>
  <c r="F29" i="1" s="1"/>
  <c r="C2" i="19"/>
  <c r="V29" i="1"/>
  <c r="X29" i="1" s="1"/>
  <c r="U22" i="1"/>
  <c r="F49" i="1" s="1"/>
  <c r="V22" i="1"/>
  <c r="G49" i="1" s="1"/>
  <c r="E49" i="1"/>
  <c r="D107" i="19"/>
  <c r="G107" i="19" s="1"/>
  <c r="W29" i="5"/>
  <c r="D23" i="19"/>
  <c r="G23" i="19" s="1"/>
  <c r="W29" i="18"/>
  <c r="W48" i="1"/>
  <c r="D21" i="19"/>
  <c r="G21" i="19" s="1"/>
  <c r="W29" i="7" l="1"/>
  <c r="D65" i="19"/>
  <c r="G3" i="19"/>
  <c r="G65" i="19"/>
  <c r="D22" i="19"/>
  <c r="G22" i="19" s="1"/>
  <c r="W49" i="1"/>
  <c r="D2" i="19"/>
  <c r="G2" i="19" s="1"/>
  <c r="W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X4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8/31/2017
Last Step is unbounded (after base-year)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X4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8/31/2017
Last Step is unbounded (after base-year)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X4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8/31/2017
Last Step is unbounded (after base-year)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X4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8/31/2017
Last Step is unbounded (after base-year)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Amit Kanudia</author>
  </authors>
  <commentList>
    <comment ref="D3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3/7/2015
IEA prices
</t>
        </r>
      </text>
    </comment>
    <comment ref="X49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8/31/2017
Last Step is unbounded (after base-year)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X5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8/31/2017
Last Step is unbounded (after base-year)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X4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8/31/2017
Last Step is unbounded (after base-year)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G1" authorId="0" shapeId="0" xr:uid="{00000000-0006-0000-0800-000001000000}">
      <text>
        <r>
          <rPr>
            <b/>
            <sz val="9"/>
            <color indexed="8"/>
            <rFont val="Tahoma"/>
            <family val="2"/>
          </rPr>
          <t>Amit Kanudia: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9/18/2017
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to be pasted in IEMM_Aggregation_Controller.xlsx
</t>
        </r>
      </text>
    </comment>
  </commentList>
</comments>
</file>

<file path=xl/sharedStrings.xml><?xml version="1.0" encoding="utf-8"?>
<sst xmlns="http://schemas.openxmlformats.org/spreadsheetml/2006/main" count="748" uniqueCount="107">
  <si>
    <t>UP</t>
  </si>
  <si>
    <t>StepNum</t>
  </si>
  <si>
    <t>Elasticity</t>
  </si>
  <si>
    <t>LO</t>
  </si>
  <si>
    <t>ACT_BND</t>
  </si>
  <si>
    <t>COST</t>
  </si>
  <si>
    <t>StepHeight</t>
  </si>
  <si>
    <t>Ann Price change</t>
  </si>
  <si>
    <t>Price</t>
  </si>
  <si>
    <t>Qty</t>
  </si>
  <si>
    <t>Start</t>
  </si>
  <si>
    <t>End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</si>
  <si>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</si>
  <si>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</si>
  <si>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</si>
  <si>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</si>
  <si>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</si>
  <si>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</si>
  <si>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</si>
  <si>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</si>
  <si>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</si>
  <si>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</si>
  <si>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</si>
  <si>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</si>
  <si>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</si>
  <si>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</si>
  <si>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</si>
  <si>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</si>
  <si>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</si>
  <si>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</si>
  <si>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</si>
  <si>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</si>
  <si>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</si>
  <si>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MinGAS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</si>
  <si>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</si>
  <si>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</si>
  <si>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</si>
  <si>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</si>
  <si>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</si>
  <si>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</si>
  <si>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</si>
  <si>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</si>
  <si>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</si>
  <si>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Comm-IN</t>
  </si>
  <si>
    <t>Comm-OUT</t>
  </si>
  <si>
    <t>MIN</t>
  </si>
  <si>
    <t>PJ</t>
  </si>
  <si>
    <t>PJ-Yr</t>
  </si>
  <si>
    <t>GASNAT</t>
  </si>
  <si>
    <t>MinOIL</t>
  </si>
  <si>
    <t>Gas</t>
  </si>
  <si>
    <t>Oil</t>
  </si>
  <si>
    <t>Coal</t>
  </si>
  <si>
    <t>MinBio</t>
  </si>
  <si>
    <t>ELCNUC</t>
  </si>
  <si>
    <t>SEASON</t>
  </si>
  <si>
    <t>ELCREN</t>
  </si>
  <si>
    <t>Renewable Electricity</t>
  </si>
  <si>
    <t>RNWElec</t>
  </si>
  <si>
    <t>Nuclear Fuel</t>
  </si>
  <si>
    <t>MINNUC</t>
  </si>
  <si>
    <t>Real terms (2013 Price)</t>
  </si>
  <si>
    <t>New Policies Scenario</t>
  </si>
  <si>
    <t>Current Policies Scenario</t>
  </si>
  <si>
    <t>450 Scenario</t>
  </si>
  <si>
    <t>IEA crude oil imports</t>
  </si>
  <si>
    <t>($/barrel)</t>
  </si>
  <si>
    <t>Europe Natural Gas imports</t>
  </si>
  <si>
    <t>($/MBtu)</t>
  </si>
  <si>
    <t>OECD steam coal imports</t>
  </si>
  <si>
    <t>($/tonne)</t>
  </si>
  <si>
    <t>Curr</t>
  </si>
  <si>
    <t>AnnGrwRate</t>
  </si>
  <si>
    <t>MinCoa</t>
  </si>
  <si>
    <t>COABIT</t>
  </si>
  <si>
    <t>BIOCRP</t>
  </si>
  <si>
    <t>OILRPP</t>
  </si>
  <si>
    <t>Natural Gas</t>
  </si>
  <si>
    <t>Bituminous Coal</t>
  </si>
  <si>
    <t>Biomass</t>
  </si>
  <si>
    <t>Fuel</t>
  </si>
  <si>
    <t>Tech</t>
  </si>
  <si>
    <t>Bound</t>
  </si>
  <si>
    <t>GAS</t>
  </si>
  <si>
    <t>Coa</t>
  </si>
  <si>
    <t>Bio</t>
  </si>
  <si>
    <t>OIL</t>
  </si>
  <si>
    <t>NUC</t>
  </si>
  <si>
    <t>ng</t>
  </si>
  <si>
    <t>cl</t>
  </si>
  <si>
    <t>bm</t>
  </si>
  <si>
    <t>nu</t>
  </si>
  <si>
    <t>OILDST</t>
  </si>
  <si>
    <t>Dst</t>
  </si>
  <si>
    <t>MinDst</t>
  </si>
  <si>
    <t>rs</t>
  </si>
  <si>
    <t>ds</t>
  </si>
  <si>
    <t>~FI_T: ACT_COST~UP~USD10</t>
  </si>
  <si>
    <t>Workbook purpose:</t>
  </si>
  <si>
    <t>Data source:</t>
  </si>
  <si>
    <t>User-modifiable?</t>
  </si>
  <si>
    <t>Shapes the fuel supply curves that are created around the q-p points received from WEPS</t>
  </si>
  <si>
    <t>The user constructs shapes using step numbers, heights, and elasticities up and down from the central point in cells B6:E14 of each fuel sheet</t>
  </si>
  <si>
    <t>Browse in VEDA-FE first to become aware of how these curves are being modified by subsequent scenarios</t>
  </si>
  <si>
    <t>The resulting curve shapes on sheet _IEMMSuppCurveShaping are then pasted into the Aggregation Controller</t>
  </si>
  <si>
    <t>These shapes will be multiplied by the prices and quantities received from WEPS during the integration loop (or from the restart file for standalone)</t>
  </si>
  <si>
    <t>Yes, in cells B6:E14 of each fuel sheet. Paste resulting changes on sheet _IEMMSuppCurveShaping into the Aggregation Controller.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</si>
</sst>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Te\x\t"/>
  </numFmts>
  <fonts count="17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1" applyNumberFormat="0" applyAlignment="0" applyProtection="0"/>
    <xf numFmtId="0" fontId="11" fillId="5" borderId="0" applyNumberFormat="0" applyBorder="0" applyAlignment="0" applyProtection="0"/>
    <xf numFmtId="9" fontId="7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0" fillId="6" borderId="0" xfId="0" applyFill="1"/>
    <xf numFmtId="9" fontId="7" fillId="6" borderId="0" xfId="5" applyFont="1" applyFill="1"/>
    <xf numFmtId="0" fontId="0" fillId="7" borderId="0" xfId="0" applyFill="1"/>
    <xf numFmtId="0" fontId="12" fillId="7" borderId="0" xfId="0" applyFont="1" applyFill="1"/>
    <xf numFmtId="0" fontId="0" fillId="8" borderId="0" xfId="0" applyFill="1"/>
    <xf numFmtId="0" fontId="0" fillId="9" borderId="0" xfId="0" applyFill="1"/>
    <xf numFmtId="0" fontId="9" fillId="3" borderId="0" xfId="2"/>
    <xf numFmtId="164" fontId="9" fillId="3" borderId="0" xfId="2" applyNumberFormat="1"/>
    <xf numFmtId="0" fontId="10" fillId="4" borderId="1" xfId="3"/>
    <xf numFmtId="2" fontId="0" fillId="0" borderId="0" xfId="0" applyNumberFormat="1"/>
    <xf numFmtId="165" fontId="7" fillId="6" borderId="0" xfId="5" applyNumberFormat="1" applyFont="1" applyFill="1"/>
    <xf numFmtId="166" fontId="0" fillId="0" borderId="0" xfId="0" applyNumberFormat="1"/>
    <xf numFmtId="0" fontId="13" fillId="2" borderId="0" xfId="1" applyFont="1"/>
    <xf numFmtId="2" fontId="0" fillId="6" borderId="0" xfId="0" applyNumberFormat="1" applyFill="1"/>
    <xf numFmtId="0" fontId="0" fillId="0" borderId="0" xfId="0"/>
    <xf numFmtId="2" fontId="9" fillId="3" borderId="0" xfId="2" applyNumberFormat="1"/>
    <xf numFmtId="0" fontId="14" fillId="3" borderId="0" xfId="2" applyFont="1"/>
    <xf numFmtId="0" fontId="11" fillId="5" borderId="0" xfId="4"/>
    <xf numFmtId="0" fontId="15" fillId="0" borderId="0" xfId="0" applyFont="1"/>
    <xf numFmtId="0" fontId="16" fillId="0" borderId="0" xfId="0" applyFont="1"/>
    <xf numFmtId="0" fontId="12" fillId="7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6">
    <cellStyle name="Bad" xfId="1" builtinId="27"/>
    <cellStyle name="Good" xfId="2" builtinId="26"/>
    <cellStyle name="Input" xfId="3" builtinId="20"/>
    <cellStyle name="Neutral" xfId="4" builtinId="28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'Gas-Min'!$T$1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dPt>
            <c:idx val="10"/>
            <c:marker>
              <c:symbol val="diamond"/>
              <c:size val="15"/>
            </c:marker>
            <c:bubble3D val="0"/>
            <c:extLst>
              <c:ext xmlns:c16="http://schemas.microsoft.com/office/drawing/2014/chart" uri="{C3380CC4-5D6E-409C-BE32-E72D297353CC}">
                <c16:uniqueId val="{00000001-4805-4C3D-8D82-ECEA7BF526E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3-4805-4C3D-8D82-ECEA7BF526EB}"/>
              </c:ext>
            </c:extLst>
          </c:dPt>
          <c:xVal>
            <c:numRef>
              <c:f>'Gas-Min'!$S$2:$S$22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'Gas-Min'!$T$2:$T$22</c:f>
              <c:numCache>
                <c:formatCode>0.00</c:formatCode>
                <c:ptCount val="21"/>
                <c:pt idx="0">
                  <c:v>0.83330000000000004</c:v>
                </c:pt>
                <c:pt idx="1">
                  <c:v>0.85</c:v>
                </c:pt>
                <c:pt idx="2">
                  <c:v>0.86670000000000003</c:v>
                </c:pt>
                <c:pt idx="3">
                  <c:v>0.88329999999999997</c:v>
                </c:pt>
                <c:pt idx="4">
                  <c:v>0.9</c:v>
                </c:pt>
                <c:pt idx="5">
                  <c:v>0.91669999999999996</c:v>
                </c:pt>
                <c:pt idx="6">
                  <c:v>0.93330000000000002</c:v>
                </c:pt>
                <c:pt idx="7">
                  <c:v>0.95</c:v>
                </c:pt>
                <c:pt idx="8">
                  <c:v>0.9667</c:v>
                </c:pt>
                <c:pt idx="9">
                  <c:v>0.98329999999999995</c:v>
                </c:pt>
                <c:pt idx="10">
                  <c:v>1</c:v>
                </c:pt>
                <c:pt idx="11">
                  <c:v>1.0049999999999999</c:v>
                </c:pt>
                <c:pt idx="12">
                  <c:v>1.0108999999999999</c:v>
                </c:pt>
                <c:pt idx="13">
                  <c:v>1.018</c:v>
                </c:pt>
                <c:pt idx="14">
                  <c:v>1.0266999999999999</c:v>
                </c:pt>
                <c:pt idx="15">
                  <c:v>1.0375000000000001</c:v>
                </c:pt>
                <c:pt idx="16">
                  <c:v>1.0513999999999999</c:v>
                </c:pt>
                <c:pt idx="17">
                  <c:v>1.07</c:v>
                </c:pt>
                <c:pt idx="18">
                  <c:v>1.0960000000000001</c:v>
                </c:pt>
                <c:pt idx="19">
                  <c:v>1.135</c:v>
                </c:pt>
                <c:pt idx="20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05-4C3D-8D82-ECEA7BF526EB}"/>
            </c:ext>
          </c:extLst>
        </c:ser>
        <c:ser>
          <c:idx val="1"/>
          <c:order val="1"/>
          <c:tx>
            <c:strRef>
              <c:f>'Gas-Min'!$U$1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xVal>
            <c:numRef>
              <c:f>'Gas-Min'!$S$2:$S$22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'Gas-Min'!$U$2:$U$22</c:f>
              <c:numCache>
                <c:formatCode>0.00</c:formatCode>
                <c:ptCount val="21"/>
                <c:pt idx="0">
                  <c:v>0.8977007604368491</c:v>
                </c:pt>
                <c:pt idx="1">
                  <c:v>0.91569140330171817</c:v>
                </c:pt>
                <c:pt idx="2">
                  <c:v>0.93368204616658723</c:v>
                </c:pt>
                <c:pt idx="3">
                  <c:v>0.95156496063106777</c:v>
                </c:pt>
                <c:pt idx="4">
                  <c:v>0.96955560349593684</c:v>
                </c:pt>
                <c:pt idx="5">
                  <c:v>0.9875462463608059</c:v>
                </c:pt>
                <c:pt idx="6">
                  <c:v>1.0054291608252865</c:v>
                </c:pt>
                <c:pt idx="7">
                  <c:v>1.0234198036901556</c:v>
                </c:pt>
                <c:pt idx="8">
                  <c:v>1.0414104465550247</c:v>
                </c:pt>
                <c:pt idx="9">
                  <c:v>1.0592933610195052</c:v>
                </c:pt>
                <c:pt idx="10">
                  <c:v>1.0772840038843743</c:v>
                </c:pt>
                <c:pt idx="11">
                  <c:v>1.0826704239037961</c:v>
                </c:pt>
                <c:pt idx="12">
                  <c:v>1.0890263995267138</c:v>
                </c:pt>
                <c:pt idx="13">
                  <c:v>1.0966751159542931</c:v>
                </c:pt>
                <c:pt idx="14">
                  <c:v>1.106047486788087</c:v>
                </c:pt>
                <c:pt idx="15">
                  <c:v>1.1176821540300383</c:v>
                </c:pt>
                <c:pt idx="16">
                  <c:v>1.132656401684031</c:v>
                </c:pt>
                <c:pt idx="17">
                  <c:v>1.1526938841562806</c:v>
                </c:pt>
                <c:pt idx="18">
                  <c:v>1.1807032682572742</c:v>
                </c:pt>
                <c:pt idx="19">
                  <c:v>1.2227173444087649</c:v>
                </c:pt>
                <c:pt idx="20">
                  <c:v>1.2927408046612492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05-4C3D-8D82-ECEA7BF526EB}"/>
            </c:ext>
          </c:extLst>
        </c:ser>
        <c:ser>
          <c:idx val="2"/>
          <c:order val="2"/>
          <c:tx>
            <c:strRef>
              <c:f>'Gas-Min'!$V$1</c:f>
              <c:strCache>
                <c:ptCount val="1"/>
                <c:pt idx="0">
                  <c:v>2030</c:v>
                </c:pt>
              </c:strCache>
            </c:strRef>
          </c:tx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7-4805-4C3D-8D82-ECEA7BF526EB}"/>
              </c:ext>
            </c:extLst>
          </c:dPt>
          <c:xVal>
            <c:numRef>
              <c:f>'Gas-Min'!$S$2:$S$22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'Gas-Min'!$V$2:$V$22</c:f>
              <c:numCache>
                <c:formatCode>0.00</c:formatCode>
                <c:ptCount val="21"/>
                <c:pt idx="0">
                  <c:v>0.96707866949345633</c:v>
                </c:pt>
                <c:pt idx="1">
                  <c:v>0.98645970127137628</c:v>
                </c:pt>
                <c:pt idx="2">
                  <c:v>1.0058407330492962</c:v>
                </c:pt>
                <c:pt idx="3">
                  <c:v>1.0251057107447137</c:v>
                </c:pt>
                <c:pt idx="4">
                  <c:v>1.0444867425226336</c:v>
                </c:pt>
                <c:pt idx="5">
                  <c:v>1.0638677743005536</c:v>
                </c:pt>
                <c:pt idx="6">
                  <c:v>1.0831327519959713</c:v>
                </c:pt>
                <c:pt idx="7">
                  <c:v>1.102513783773891</c:v>
                </c:pt>
                <c:pt idx="8">
                  <c:v>1.1218948155518111</c:v>
                </c:pt>
                <c:pt idx="9">
                  <c:v>1.1411597932472286</c:v>
                </c:pt>
                <c:pt idx="10">
                  <c:v>1.1605408250251485</c:v>
                </c:pt>
                <c:pt idx="11">
                  <c:v>1.1663435291502742</c:v>
                </c:pt>
                <c:pt idx="12">
                  <c:v>1.1731907200179226</c:v>
                </c:pt>
                <c:pt idx="13">
                  <c:v>1.1814305598756012</c:v>
                </c:pt>
                <c:pt idx="14">
                  <c:v>1.19152726505332</c:v>
                </c:pt>
                <c:pt idx="15">
                  <c:v>1.2040611059635917</c:v>
                </c:pt>
                <c:pt idx="16">
                  <c:v>1.2201926234314411</c:v>
                </c:pt>
                <c:pt idx="17">
                  <c:v>1.2417786827769091</c:v>
                </c:pt>
                <c:pt idx="18">
                  <c:v>1.2719527442275629</c:v>
                </c:pt>
                <c:pt idx="19">
                  <c:v>1.3172138364035435</c:v>
                </c:pt>
                <c:pt idx="20">
                  <c:v>1.3926489900301782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05-4C3D-8D82-ECEA7BF52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603376"/>
        <c:axId val="1"/>
      </c:scatterChart>
      <c:valAx>
        <c:axId val="5806033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Quantity (PJ)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Price ($2010/GJ)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806033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8817249456721131"/>
          <c:y val="2.0283975659229209E-2"/>
          <c:w val="0.22365613975672388"/>
          <c:h val="4.8681541582150101E-2"/>
        </c:manualLayout>
      </c:layout>
      <c:overlay val="0"/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'Coal-Min'!$T$1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dPt>
            <c:idx val="10"/>
            <c:marker>
              <c:symbol val="diamond"/>
              <c:size val="15"/>
            </c:marker>
            <c:bubble3D val="0"/>
            <c:extLst>
              <c:ext xmlns:c16="http://schemas.microsoft.com/office/drawing/2014/chart" uri="{C3380CC4-5D6E-409C-BE32-E72D297353CC}">
                <c16:uniqueId val="{00000001-45B9-40A7-BB3C-123EC9D334A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3-45B9-40A7-BB3C-123EC9D334A3}"/>
              </c:ext>
            </c:extLst>
          </c:dPt>
          <c:xVal>
            <c:numRef>
              <c:f>'Coal-Min'!$S$2:$S$22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'Coal-Min'!$T$2:$T$22</c:f>
              <c:numCache>
                <c:formatCode>0.00</c:formatCode>
                <c:ptCount val="21"/>
                <c:pt idx="0">
                  <c:v>0.83330000000000004</c:v>
                </c:pt>
                <c:pt idx="1">
                  <c:v>0.85</c:v>
                </c:pt>
                <c:pt idx="2">
                  <c:v>0.86670000000000003</c:v>
                </c:pt>
                <c:pt idx="3">
                  <c:v>0.88329999999999997</c:v>
                </c:pt>
                <c:pt idx="4">
                  <c:v>0.9</c:v>
                </c:pt>
                <c:pt idx="5">
                  <c:v>0.91669999999999996</c:v>
                </c:pt>
                <c:pt idx="6">
                  <c:v>0.93330000000000002</c:v>
                </c:pt>
                <c:pt idx="7">
                  <c:v>0.95</c:v>
                </c:pt>
                <c:pt idx="8">
                  <c:v>0.9667</c:v>
                </c:pt>
                <c:pt idx="9">
                  <c:v>0.98329999999999995</c:v>
                </c:pt>
                <c:pt idx="10">
                  <c:v>1</c:v>
                </c:pt>
                <c:pt idx="11">
                  <c:v>1.0049999999999999</c:v>
                </c:pt>
                <c:pt idx="12">
                  <c:v>1.0108999999999999</c:v>
                </c:pt>
                <c:pt idx="13">
                  <c:v>1.018</c:v>
                </c:pt>
                <c:pt idx="14">
                  <c:v>1.0266999999999999</c:v>
                </c:pt>
                <c:pt idx="15">
                  <c:v>1.0375000000000001</c:v>
                </c:pt>
                <c:pt idx="16">
                  <c:v>1.0513999999999999</c:v>
                </c:pt>
                <c:pt idx="17">
                  <c:v>1.07</c:v>
                </c:pt>
                <c:pt idx="18">
                  <c:v>1.0960000000000001</c:v>
                </c:pt>
                <c:pt idx="19">
                  <c:v>1.135</c:v>
                </c:pt>
                <c:pt idx="20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B9-40A7-BB3C-123EC9D334A3}"/>
            </c:ext>
          </c:extLst>
        </c:ser>
        <c:ser>
          <c:idx val="1"/>
          <c:order val="1"/>
          <c:tx>
            <c:strRef>
              <c:f>'Coal-Min'!$U$1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xVal>
            <c:numRef>
              <c:f>'Coal-Min'!$S$2:$S$22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'Coal-Min'!$U$2:$U$22</c:f>
              <c:numCache>
                <c:formatCode>0.00</c:formatCode>
                <c:ptCount val="21"/>
                <c:pt idx="0">
                  <c:v>0.85011679677461871</c:v>
                </c:pt>
                <c:pt idx="1">
                  <c:v>0.86715381886286558</c:v>
                </c:pt>
                <c:pt idx="2">
                  <c:v>0.88419084095111256</c:v>
                </c:pt>
                <c:pt idx="3">
                  <c:v>0.9011258449430225</c:v>
                </c:pt>
                <c:pt idx="4">
                  <c:v>0.91816286703126948</c:v>
                </c:pt>
                <c:pt idx="5">
                  <c:v>0.93519988911951635</c:v>
                </c:pt>
                <c:pt idx="6">
                  <c:v>0.95213489311142641</c:v>
                </c:pt>
                <c:pt idx="7">
                  <c:v>0.96917191519967327</c:v>
                </c:pt>
                <c:pt idx="8">
                  <c:v>0.98620893728792025</c:v>
                </c:pt>
                <c:pt idx="9">
                  <c:v>1.0031439412798302</c:v>
                </c:pt>
                <c:pt idx="10">
                  <c:v>1.0201809633680772</c:v>
                </c:pt>
                <c:pt idx="11">
                  <c:v>1.0252818681849174</c:v>
                </c:pt>
                <c:pt idx="12">
                  <c:v>1.031300935868789</c:v>
                </c:pt>
                <c:pt idx="13">
                  <c:v>1.0385442207087026</c:v>
                </c:pt>
                <c:pt idx="14">
                  <c:v>1.0474197950900048</c:v>
                </c:pt>
                <c:pt idx="15">
                  <c:v>1.0584377494943802</c:v>
                </c:pt>
                <c:pt idx="16">
                  <c:v>1.0726182648851963</c:v>
                </c:pt>
                <c:pt idx="17">
                  <c:v>1.0915936308038428</c:v>
                </c:pt>
                <c:pt idx="18">
                  <c:v>1.1181183358514126</c:v>
                </c:pt>
                <c:pt idx="19">
                  <c:v>1.1579053934227677</c:v>
                </c:pt>
                <c:pt idx="20">
                  <c:v>1.2242171560416926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5B9-40A7-BB3C-123EC9D334A3}"/>
            </c:ext>
          </c:extLst>
        </c:ser>
        <c:ser>
          <c:idx val="2"/>
          <c:order val="2"/>
          <c:tx>
            <c:strRef>
              <c:f>'Coal-Min'!$V$1</c:f>
              <c:strCache>
                <c:ptCount val="1"/>
                <c:pt idx="0">
                  <c:v>2030</c:v>
                </c:pt>
              </c:strCache>
            </c:strRef>
          </c:tx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7-45B9-40A7-BB3C-123EC9D334A3}"/>
              </c:ext>
            </c:extLst>
          </c:dPt>
          <c:xVal>
            <c:numRef>
              <c:f>'Coal-Min'!$S$2:$S$22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'Coal-Min'!$V$2:$V$22</c:f>
              <c:numCache>
                <c:formatCode>0.00</c:formatCode>
                <c:ptCount val="21"/>
                <c:pt idx="0">
                  <c:v>0.86727297270891457</c:v>
                </c:pt>
                <c:pt idx="1">
                  <c:v>0.88465381831582546</c:v>
                </c:pt>
                <c:pt idx="2">
                  <c:v>0.90203466392273646</c:v>
                </c:pt>
                <c:pt idx="3">
                  <c:v>0.91931143260984549</c:v>
                </c:pt>
                <c:pt idx="4">
                  <c:v>0.93669227821675638</c:v>
                </c:pt>
                <c:pt idx="5">
                  <c:v>0.95407312382366727</c:v>
                </c:pt>
                <c:pt idx="6">
                  <c:v>0.97134989251077641</c:v>
                </c:pt>
                <c:pt idx="7">
                  <c:v>0.9887307381176873</c:v>
                </c:pt>
                <c:pt idx="8">
                  <c:v>1.0061115837245982</c:v>
                </c:pt>
                <c:pt idx="9">
                  <c:v>1.0233883524117073</c:v>
                </c:pt>
                <c:pt idx="10">
                  <c:v>1.0407691980186182</c:v>
                </c:pt>
                <c:pt idx="11">
                  <c:v>1.0459730440087112</c:v>
                </c:pt>
                <c:pt idx="12">
                  <c:v>1.0521135822770211</c:v>
                </c:pt>
                <c:pt idx="13">
                  <c:v>1.0595030435829533</c:v>
                </c:pt>
                <c:pt idx="14">
                  <c:v>1.0685577356057152</c:v>
                </c:pt>
                <c:pt idx="15">
                  <c:v>1.0797980429443166</c:v>
                </c:pt>
                <c:pt idx="16">
                  <c:v>1.0942647347967751</c:v>
                </c:pt>
                <c:pt idx="17">
                  <c:v>1.1136230418799216</c:v>
                </c:pt>
                <c:pt idx="18">
                  <c:v>1.1406830410284057</c:v>
                </c:pt>
                <c:pt idx="19">
                  <c:v>1.1812730397511317</c:v>
                </c:pt>
                <c:pt idx="20">
                  <c:v>1.2489230376223419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5B9-40A7-BB3C-123EC9D33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391088"/>
        <c:axId val="1"/>
      </c:scatterChart>
      <c:valAx>
        <c:axId val="5053910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Quantity (PJ)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Price ($2010/GJ)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3910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133375328083989"/>
          <c:y val="2.6041666666666668E-2"/>
          <c:w val="0.27733375328083992"/>
          <c:h val="6.2500273403324591E-2"/>
        </c:manualLayout>
      </c:layout>
      <c:overlay val="0"/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'OilDST-Min'!$T$1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dPt>
            <c:idx val="10"/>
            <c:marker>
              <c:symbol val="diamond"/>
              <c:size val="15"/>
            </c:marker>
            <c:bubble3D val="0"/>
            <c:extLst>
              <c:ext xmlns:c16="http://schemas.microsoft.com/office/drawing/2014/chart" uri="{C3380CC4-5D6E-409C-BE32-E72D297353CC}">
                <c16:uniqueId val="{00000001-5BCE-4918-8912-07AEFF7272F2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3-5BCE-4918-8912-07AEFF7272F2}"/>
              </c:ext>
            </c:extLst>
          </c:dPt>
          <c:xVal>
            <c:numRef>
              <c:f>'OilDST-Min'!$S$2:$S$22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</c:numCache>
            </c:numRef>
          </c:xVal>
          <c:yVal>
            <c:numRef>
              <c:f>'OilDST-Min'!$T$2:$T$22</c:f>
              <c:numCache>
                <c:formatCode>0.00</c:formatCode>
                <c:ptCount val="21"/>
                <c:pt idx="0">
                  <c:v>0</c:v>
                </c:pt>
                <c:pt idx="1">
                  <c:v>7.9500000000000001E-2</c:v>
                </c:pt>
                <c:pt idx="2">
                  <c:v>0.1628</c:v>
                </c:pt>
                <c:pt idx="3">
                  <c:v>0.25</c:v>
                </c:pt>
                <c:pt idx="4">
                  <c:v>0.34150000000000003</c:v>
                </c:pt>
                <c:pt idx="5">
                  <c:v>0.4375</c:v>
                </c:pt>
                <c:pt idx="6">
                  <c:v>0.53849999999999998</c:v>
                </c:pt>
                <c:pt idx="7">
                  <c:v>0.64470000000000005</c:v>
                </c:pt>
                <c:pt idx="8">
                  <c:v>0.75680000000000003</c:v>
                </c:pt>
                <c:pt idx="9">
                  <c:v>0.875</c:v>
                </c:pt>
                <c:pt idx="10">
                  <c:v>1</c:v>
                </c:pt>
                <c:pt idx="11">
                  <c:v>1.05</c:v>
                </c:pt>
                <c:pt idx="12">
                  <c:v>1.1000000000000001</c:v>
                </c:pt>
                <c:pt idx="13">
                  <c:v>1.1499999999999999</c:v>
                </c:pt>
                <c:pt idx="14">
                  <c:v>1.2</c:v>
                </c:pt>
                <c:pt idx="15">
                  <c:v>1.25</c:v>
                </c:pt>
                <c:pt idx="16">
                  <c:v>1.3</c:v>
                </c:pt>
                <c:pt idx="17">
                  <c:v>1.35</c:v>
                </c:pt>
                <c:pt idx="18">
                  <c:v>1.4</c:v>
                </c:pt>
                <c:pt idx="19">
                  <c:v>1.45</c:v>
                </c:pt>
                <c:pt idx="20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CE-4918-8912-07AEFF7272F2}"/>
            </c:ext>
          </c:extLst>
        </c:ser>
        <c:ser>
          <c:idx val="1"/>
          <c:order val="1"/>
          <c:tx>
            <c:strRef>
              <c:f>'OilDST-Min'!$U$1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xVal>
            <c:numRef>
              <c:f>'OilDST-Min'!$S$2:$S$22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</c:numCache>
            </c:numRef>
          </c:xVal>
          <c:yVal>
            <c:numRef>
              <c:f>'OilDST-Min'!$U$2:$U$22</c:f>
              <c:numCache>
                <c:formatCode>0.00</c:formatCode>
                <c:ptCount val="21"/>
                <c:pt idx="0">
                  <c:v>0</c:v>
                </c:pt>
                <c:pt idx="1">
                  <c:v>8.5307096321688716E-2</c:v>
                </c:pt>
                <c:pt idx="2">
                  <c:v>0.17469176454303048</c:v>
                </c:pt>
                <c:pt idx="3">
                  <c:v>0.26826130918770036</c:v>
                </c:pt>
                <c:pt idx="4">
                  <c:v>0.3664449483503987</c:v>
                </c:pt>
                <c:pt idx="5">
                  <c:v>0.46945729107847561</c:v>
                </c:pt>
                <c:pt idx="6">
                  <c:v>0.57783485999030659</c:v>
                </c:pt>
                <c:pt idx="7">
                  <c:v>0.69179226413324169</c:v>
                </c:pt>
                <c:pt idx="8">
                  <c:v>0.81208063517300655</c:v>
                </c:pt>
                <c:pt idx="9">
                  <c:v>0.93891458215695123</c:v>
                </c:pt>
                <c:pt idx="10">
                  <c:v>1.0730452367508014</c:v>
                </c:pt>
                <c:pt idx="11">
                  <c:v>1.1266974985883416</c:v>
                </c:pt>
                <c:pt idx="12">
                  <c:v>1.1803497604258817</c:v>
                </c:pt>
                <c:pt idx="13">
                  <c:v>1.2340020222634216</c:v>
                </c:pt>
                <c:pt idx="14">
                  <c:v>1.2876542841009617</c:v>
                </c:pt>
                <c:pt idx="15">
                  <c:v>1.3413065459385018</c:v>
                </c:pt>
                <c:pt idx="16">
                  <c:v>1.394958807776042</c:v>
                </c:pt>
                <c:pt idx="17">
                  <c:v>1.4486110696135821</c:v>
                </c:pt>
                <c:pt idx="18">
                  <c:v>1.502263331451122</c:v>
                </c:pt>
                <c:pt idx="19">
                  <c:v>1.5559155932886621</c:v>
                </c:pt>
                <c:pt idx="20">
                  <c:v>1.609567855126202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BCE-4918-8912-07AEFF7272F2}"/>
            </c:ext>
          </c:extLst>
        </c:ser>
        <c:ser>
          <c:idx val="2"/>
          <c:order val="2"/>
          <c:tx>
            <c:strRef>
              <c:f>'OilDST-Min'!$V$1</c:f>
              <c:strCache>
                <c:ptCount val="1"/>
                <c:pt idx="0">
                  <c:v>2030</c:v>
                </c:pt>
              </c:strCache>
            </c:strRef>
          </c:tx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7-5BCE-4918-8912-07AEFF7272F2}"/>
              </c:ext>
            </c:extLst>
          </c:dPt>
          <c:xVal>
            <c:numRef>
              <c:f>'OilDST-Min'!$S$2:$S$22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</c:numCache>
            </c:numRef>
          </c:xVal>
          <c:yVal>
            <c:numRef>
              <c:f>'OilDST-Min'!$V$2:$V$22</c:f>
              <c:numCache>
                <c:formatCode>0.00</c:formatCode>
                <c:ptCount val="21"/>
                <c:pt idx="0">
                  <c:v>0</c:v>
                </c:pt>
                <c:pt idx="1">
                  <c:v>9.1538373369029882E-2</c:v>
                </c:pt>
                <c:pt idx="2">
                  <c:v>0.18745216584249139</c:v>
                </c:pt>
                <c:pt idx="3">
                  <c:v>0.28785652002839585</c:v>
                </c:pt>
                <c:pt idx="4">
                  <c:v>0.39321200635878878</c:v>
                </c:pt>
                <c:pt idx="5">
                  <c:v>0.50374891004969269</c:v>
                </c:pt>
                <c:pt idx="6">
                  <c:v>0.62004294414116468</c:v>
                </c:pt>
                <c:pt idx="7">
                  <c:v>0.74232439384922722</c:v>
                </c:pt>
                <c:pt idx="8">
                  <c:v>0.87139925742995994</c:v>
                </c:pt>
                <c:pt idx="9">
                  <c:v>1.0074978200993854</c:v>
                </c:pt>
                <c:pt idx="10">
                  <c:v>1.1514260801135834</c:v>
                </c:pt>
                <c:pt idx="11">
                  <c:v>1.2089973841192625</c:v>
                </c:pt>
                <c:pt idx="12">
                  <c:v>1.2665686881249418</c:v>
                </c:pt>
                <c:pt idx="13">
                  <c:v>1.3241399921306207</c:v>
                </c:pt>
                <c:pt idx="14">
                  <c:v>1.3817112961363001</c:v>
                </c:pt>
                <c:pt idx="15">
                  <c:v>1.4392826001419792</c:v>
                </c:pt>
                <c:pt idx="16">
                  <c:v>1.4968539041476585</c:v>
                </c:pt>
                <c:pt idx="17">
                  <c:v>1.5544252081533376</c:v>
                </c:pt>
                <c:pt idx="18">
                  <c:v>1.6119965121590167</c:v>
                </c:pt>
                <c:pt idx="19">
                  <c:v>1.6695678161646959</c:v>
                </c:pt>
                <c:pt idx="20">
                  <c:v>1.7271391201703752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BCE-4918-8912-07AEFF727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46864"/>
        <c:axId val="1"/>
      </c:scatterChart>
      <c:valAx>
        <c:axId val="5777468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Quantity (PJ)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Price ($2010/GJ)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777468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822220677648582"/>
          <c:y val="2.0283975659229209E-2"/>
          <c:w val="0.26229521435923914"/>
          <c:h val="4.8681541582150101E-2"/>
        </c:manualLayout>
      </c:layout>
      <c:overlay val="0"/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'Bio-MIN'!$T$1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dPt>
            <c:idx val="10"/>
            <c:marker>
              <c:symbol val="diamond"/>
              <c:size val="15"/>
            </c:marker>
            <c:bubble3D val="0"/>
            <c:extLst>
              <c:ext xmlns:c16="http://schemas.microsoft.com/office/drawing/2014/chart" uri="{C3380CC4-5D6E-409C-BE32-E72D297353CC}">
                <c16:uniqueId val="{00000001-AC0E-4FCD-B5A9-697F5FED8EC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3-AC0E-4FCD-B5A9-697F5FED8ECD}"/>
              </c:ext>
            </c:extLst>
          </c:dPt>
          <c:xVal>
            <c:numRef>
              <c:f>'Bio-MIN'!$S$2:$S$22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</c:numCache>
            </c:numRef>
          </c:xVal>
          <c:yVal>
            <c:numRef>
              <c:f>'Bio-MIN'!$T$2:$T$22</c:f>
              <c:numCache>
                <c:formatCode>0.00</c:formatCode>
                <c:ptCount val="21"/>
                <c:pt idx="0">
                  <c:v>4.1666999999999996</c:v>
                </c:pt>
                <c:pt idx="1">
                  <c:v>4.25</c:v>
                </c:pt>
                <c:pt idx="2">
                  <c:v>4.3333000000000004</c:v>
                </c:pt>
                <c:pt idx="3">
                  <c:v>4.4166999999999996</c:v>
                </c:pt>
                <c:pt idx="4">
                  <c:v>4.5</c:v>
                </c:pt>
                <c:pt idx="5">
                  <c:v>4.5833000000000004</c:v>
                </c:pt>
                <c:pt idx="6">
                  <c:v>4.6666999999999996</c:v>
                </c:pt>
                <c:pt idx="7">
                  <c:v>4.75</c:v>
                </c:pt>
                <c:pt idx="8">
                  <c:v>4.8333000000000004</c:v>
                </c:pt>
                <c:pt idx="9">
                  <c:v>4.9166999999999996</c:v>
                </c:pt>
                <c:pt idx="10">
                  <c:v>5</c:v>
                </c:pt>
                <c:pt idx="11">
                  <c:v>5.3333000000000004</c:v>
                </c:pt>
                <c:pt idx="12">
                  <c:v>5.6923000000000004</c:v>
                </c:pt>
                <c:pt idx="13">
                  <c:v>6.08</c:v>
                </c:pt>
                <c:pt idx="14">
                  <c:v>6.5</c:v>
                </c:pt>
                <c:pt idx="15">
                  <c:v>6.9565000000000001</c:v>
                </c:pt>
                <c:pt idx="16">
                  <c:v>7.4545000000000003</c:v>
                </c:pt>
                <c:pt idx="17">
                  <c:v>8</c:v>
                </c:pt>
                <c:pt idx="18">
                  <c:v>8.6</c:v>
                </c:pt>
                <c:pt idx="19">
                  <c:v>9.2631999999999994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C0E-4FCD-B5A9-697F5FED8ECD}"/>
            </c:ext>
          </c:extLst>
        </c:ser>
        <c:ser>
          <c:idx val="1"/>
          <c:order val="1"/>
          <c:tx>
            <c:strRef>
              <c:f>'Bio-MIN'!$U$1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xVal>
            <c:numRef>
              <c:f>'Bio-MIN'!$S$2:$S$22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</c:numCache>
            </c:numRef>
          </c:xVal>
          <c:yVal>
            <c:numRef>
              <c:f>'Bio-MIN'!$U$2:$U$22</c:f>
              <c:numCache>
                <c:formatCode>0.00</c:formatCode>
                <c:ptCount val="21"/>
                <c:pt idx="0">
                  <c:v>4.2719143964089543</c:v>
                </c:pt>
                <c:pt idx="1">
                  <c:v>4.357317825794528</c:v>
                </c:pt>
                <c:pt idx="2">
                  <c:v>4.4427212551801007</c:v>
                </c:pt>
                <c:pt idx="3">
                  <c:v>4.5282272096909857</c:v>
                </c:pt>
                <c:pt idx="4">
                  <c:v>4.6136306390765585</c:v>
                </c:pt>
                <c:pt idx="5">
                  <c:v>4.6990340684621321</c:v>
                </c:pt>
                <c:pt idx="6">
                  <c:v>4.7845400229730162</c:v>
                </c:pt>
                <c:pt idx="7">
                  <c:v>4.8699434523585898</c:v>
                </c:pt>
                <c:pt idx="8">
                  <c:v>4.9553468817441626</c:v>
                </c:pt>
                <c:pt idx="9">
                  <c:v>5.0408528362550475</c:v>
                </c:pt>
                <c:pt idx="10">
                  <c:v>5.1262562656406203</c:v>
                </c:pt>
                <c:pt idx="11">
                  <c:v>5.4679725083082253</c:v>
                </c:pt>
                <c:pt idx="12">
                  <c:v>5.8360377081812214</c:v>
                </c:pt>
                <c:pt idx="13">
                  <c:v>6.2335276190189948</c:v>
                </c:pt>
                <c:pt idx="14">
                  <c:v>6.6641331453328068</c:v>
                </c:pt>
                <c:pt idx="15">
                  <c:v>7.132160342385796</c:v>
                </c:pt>
                <c:pt idx="16">
                  <c:v>7.642735466443602</c:v>
                </c:pt>
                <c:pt idx="17">
                  <c:v>8.2020100250249932</c:v>
                </c:pt>
                <c:pt idx="18">
                  <c:v>8.8171607769018667</c:v>
                </c:pt>
                <c:pt idx="19">
                  <c:v>9.4971074079764399</c:v>
                </c:pt>
                <c:pt idx="20">
                  <c:v>10.252512531281241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C0E-4FCD-B5A9-697F5FED8ECD}"/>
            </c:ext>
          </c:extLst>
        </c:ser>
        <c:ser>
          <c:idx val="2"/>
          <c:order val="2"/>
          <c:tx>
            <c:strRef>
              <c:f>'Bio-MIN'!$V$1</c:f>
              <c:strCache>
                <c:ptCount val="1"/>
                <c:pt idx="0">
                  <c:v>2030</c:v>
                </c:pt>
              </c:strCache>
            </c:strRef>
          </c:tx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7-AC0E-4FCD-B5A9-697F5FED8ECD}"/>
              </c:ext>
            </c:extLst>
          </c:dPt>
          <c:xVal>
            <c:numRef>
              <c:f>'Bio-MIN'!$S$2:$S$22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1.2</c:v>
                </c:pt>
                <c:pt idx="12">
                  <c:v>1.4</c:v>
                </c:pt>
                <c:pt idx="13">
                  <c:v>1.5999999999999999</c:v>
                </c:pt>
                <c:pt idx="14">
                  <c:v>1.7999999999999998</c:v>
                </c:pt>
                <c:pt idx="15">
                  <c:v>1.9999999999999998</c:v>
                </c:pt>
                <c:pt idx="16">
                  <c:v>2.1999999999999997</c:v>
                </c:pt>
                <c:pt idx="17">
                  <c:v>2.4</c:v>
                </c:pt>
                <c:pt idx="18">
                  <c:v>2.6</c:v>
                </c:pt>
                <c:pt idx="19">
                  <c:v>2.8000000000000003</c:v>
                </c:pt>
                <c:pt idx="20">
                  <c:v>3.0000000000000004</c:v>
                </c:pt>
              </c:numCache>
            </c:numRef>
          </c:xVal>
          <c:yVal>
            <c:numRef>
              <c:f>'Bio-MIN'!$V$2:$V$22</c:f>
              <c:numCache>
                <c:formatCode>0.00</c:formatCode>
                <c:ptCount val="21"/>
                <c:pt idx="0">
                  <c:v>4.3797855881743555</c:v>
                </c:pt>
                <c:pt idx="1">
                  <c:v>4.4673455611733539</c:v>
                </c:pt>
                <c:pt idx="2">
                  <c:v>4.5549055341723523</c:v>
                </c:pt>
                <c:pt idx="3">
                  <c:v>4.6425706211845528</c:v>
                </c:pt>
                <c:pt idx="4">
                  <c:v>4.7301305941835512</c:v>
                </c:pt>
                <c:pt idx="5">
                  <c:v>4.8176905671825496</c:v>
                </c:pt>
                <c:pt idx="6">
                  <c:v>4.9053556541947501</c:v>
                </c:pt>
                <c:pt idx="7">
                  <c:v>4.9929156271937485</c:v>
                </c:pt>
                <c:pt idx="8">
                  <c:v>5.0804756001927469</c:v>
                </c:pt>
                <c:pt idx="9">
                  <c:v>5.1681406872049473</c:v>
                </c:pt>
                <c:pt idx="10">
                  <c:v>5.2557006602039458</c:v>
                </c:pt>
                <c:pt idx="11">
                  <c:v>5.6060456662131415</c:v>
                </c:pt>
                <c:pt idx="12">
                  <c:v>5.9834049736157846</c:v>
                </c:pt>
                <c:pt idx="13">
                  <c:v>6.3909320028079986</c:v>
                </c:pt>
                <c:pt idx="14">
                  <c:v>6.8324108582651295</c:v>
                </c:pt>
                <c:pt idx="15">
                  <c:v>7.3122563285417499</c:v>
                </c:pt>
                <c:pt idx="16">
                  <c:v>7.8357241142980634</c:v>
                </c:pt>
                <c:pt idx="17">
                  <c:v>8.4091210563263132</c:v>
                </c:pt>
                <c:pt idx="18">
                  <c:v>9.039805135550786</c:v>
                </c:pt>
                <c:pt idx="19">
                  <c:v>9.736921271120238</c:v>
                </c:pt>
                <c:pt idx="20">
                  <c:v>10.511401320407892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C0E-4FCD-B5A9-697F5FED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385968"/>
        <c:axId val="1"/>
      </c:scatterChart>
      <c:valAx>
        <c:axId val="5053859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Quantity (PJ)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Price ($2010/GJ)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385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948324082440515"/>
          <c:y val="2.0283975659229209E-2"/>
          <c:w val="0.26229521435923914"/>
          <c:h val="4.8681541582150101E-2"/>
        </c:manualLayout>
      </c:layout>
      <c:overlay val="0"/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'Oil-Min'!$T$1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dPt>
            <c:idx val="10"/>
            <c:marker>
              <c:symbol val="diamond"/>
              <c:size val="15"/>
            </c:marker>
            <c:bubble3D val="0"/>
            <c:extLst>
              <c:ext xmlns:c16="http://schemas.microsoft.com/office/drawing/2014/chart" uri="{C3380CC4-5D6E-409C-BE32-E72D297353CC}">
                <c16:uniqueId val="{00000001-8914-47BD-98CA-B63172DF610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3-8914-47BD-98CA-B63172DF6101}"/>
              </c:ext>
            </c:extLst>
          </c:dPt>
          <c:xVal>
            <c:numRef>
              <c:f>'Oil-Min'!$S$2:$S$22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</c:numCache>
            </c:numRef>
          </c:xVal>
          <c:yVal>
            <c:numRef>
              <c:f>'Oil-Min'!$T$2:$T$22</c:f>
              <c:numCache>
                <c:formatCode>0.00</c:formatCode>
                <c:ptCount val="21"/>
                <c:pt idx="0">
                  <c:v>0</c:v>
                </c:pt>
                <c:pt idx="1">
                  <c:v>7.9500000000000001E-2</c:v>
                </c:pt>
                <c:pt idx="2">
                  <c:v>0.1628</c:v>
                </c:pt>
                <c:pt idx="3">
                  <c:v>0.25</c:v>
                </c:pt>
                <c:pt idx="4">
                  <c:v>0.34150000000000003</c:v>
                </c:pt>
                <c:pt idx="5">
                  <c:v>0.4375</c:v>
                </c:pt>
                <c:pt idx="6">
                  <c:v>0.53849999999999998</c:v>
                </c:pt>
                <c:pt idx="7">
                  <c:v>0.64470000000000005</c:v>
                </c:pt>
                <c:pt idx="8">
                  <c:v>0.75680000000000003</c:v>
                </c:pt>
                <c:pt idx="9">
                  <c:v>0.875</c:v>
                </c:pt>
                <c:pt idx="10">
                  <c:v>1</c:v>
                </c:pt>
                <c:pt idx="11">
                  <c:v>1.05</c:v>
                </c:pt>
                <c:pt idx="12">
                  <c:v>1.1000000000000001</c:v>
                </c:pt>
                <c:pt idx="13">
                  <c:v>1.1499999999999999</c:v>
                </c:pt>
                <c:pt idx="14">
                  <c:v>1.2</c:v>
                </c:pt>
                <c:pt idx="15">
                  <c:v>1.25</c:v>
                </c:pt>
                <c:pt idx="16">
                  <c:v>1.3</c:v>
                </c:pt>
                <c:pt idx="17">
                  <c:v>1.35</c:v>
                </c:pt>
                <c:pt idx="18">
                  <c:v>1.4</c:v>
                </c:pt>
                <c:pt idx="19">
                  <c:v>1.45</c:v>
                </c:pt>
                <c:pt idx="20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14-47BD-98CA-B63172DF6101}"/>
            </c:ext>
          </c:extLst>
        </c:ser>
        <c:ser>
          <c:idx val="1"/>
          <c:order val="1"/>
          <c:tx>
            <c:strRef>
              <c:f>'Oil-Min'!$U$1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xVal>
            <c:numRef>
              <c:f>'Oil-Min'!$S$2:$S$22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</c:numCache>
            </c:numRef>
          </c:xVal>
          <c:yVal>
            <c:numRef>
              <c:f>'Oil-Min'!$U$2:$U$22</c:f>
              <c:numCache>
                <c:formatCode>0.00</c:formatCode>
                <c:ptCount val="21"/>
                <c:pt idx="0">
                  <c:v>0</c:v>
                </c:pt>
                <c:pt idx="1">
                  <c:v>9.1538373369029882E-2</c:v>
                </c:pt>
                <c:pt idx="2">
                  <c:v>0.18745216584249139</c:v>
                </c:pt>
                <c:pt idx="3">
                  <c:v>0.28785652002839585</c:v>
                </c:pt>
                <c:pt idx="4">
                  <c:v>0.39321200635878878</c:v>
                </c:pt>
                <c:pt idx="5">
                  <c:v>0.50374891004969269</c:v>
                </c:pt>
                <c:pt idx="6">
                  <c:v>0.62004294414116468</c:v>
                </c:pt>
                <c:pt idx="7">
                  <c:v>0.74232439384922722</c:v>
                </c:pt>
                <c:pt idx="8">
                  <c:v>0.87139925742995994</c:v>
                </c:pt>
                <c:pt idx="9">
                  <c:v>1.0074978200993854</c:v>
                </c:pt>
                <c:pt idx="10">
                  <c:v>1.1514260801135834</c:v>
                </c:pt>
                <c:pt idx="11">
                  <c:v>1.2089973841192625</c:v>
                </c:pt>
                <c:pt idx="12">
                  <c:v>1.2665686881249418</c:v>
                </c:pt>
                <c:pt idx="13">
                  <c:v>1.3241399921306207</c:v>
                </c:pt>
                <c:pt idx="14">
                  <c:v>1.3817112961363001</c:v>
                </c:pt>
                <c:pt idx="15">
                  <c:v>1.4392826001419792</c:v>
                </c:pt>
                <c:pt idx="16">
                  <c:v>1.4968539041476585</c:v>
                </c:pt>
                <c:pt idx="17">
                  <c:v>1.5544252081533376</c:v>
                </c:pt>
                <c:pt idx="18">
                  <c:v>1.6119965121590167</c:v>
                </c:pt>
                <c:pt idx="19">
                  <c:v>1.6695678161646959</c:v>
                </c:pt>
                <c:pt idx="20">
                  <c:v>1.7271391201703752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14-47BD-98CA-B63172DF6101}"/>
            </c:ext>
          </c:extLst>
        </c:ser>
        <c:ser>
          <c:idx val="2"/>
          <c:order val="2"/>
          <c:tx>
            <c:strRef>
              <c:f>'Oil-Min'!$V$1</c:f>
              <c:strCache>
                <c:ptCount val="1"/>
                <c:pt idx="0">
                  <c:v>2030</c:v>
                </c:pt>
              </c:strCache>
            </c:strRef>
          </c:tx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7-8914-47BD-98CA-B63172DF6101}"/>
              </c:ext>
            </c:extLst>
          </c:dPt>
          <c:xVal>
            <c:numRef>
              <c:f>'Oil-Min'!$S$2:$S$22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</c:numCache>
            </c:numRef>
          </c:xVal>
          <c:yVal>
            <c:numRef>
              <c:f>'Oil-Min'!$V$2:$V$22</c:f>
              <c:numCache>
                <c:formatCode>0.00</c:formatCode>
                <c:ptCount val="21"/>
                <c:pt idx="0">
                  <c:v>0</c:v>
                </c:pt>
                <c:pt idx="1">
                  <c:v>0.10539967042827572</c:v>
                </c:pt>
                <c:pt idx="2">
                  <c:v>0.21583731252482122</c:v>
                </c:pt>
                <c:pt idx="3">
                  <c:v>0.33144550449143306</c:v>
                </c:pt>
                <c:pt idx="4">
                  <c:v>0.45275455913529761</c:v>
                </c:pt>
                <c:pt idx="5">
                  <c:v>0.58002963286000786</c:v>
                </c:pt>
                <c:pt idx="6">
                  <c:v>0.7139336166745468</c:v>
                </c:pt>
                <c:pt idx="7">
                  <c:v>0.85473166698250769</c:v>
                </c:pt>
                <c:pt idx="8">
                  <c:v>1.0033518311964662</c:v>
                </c:pt>
                <c:pt idx="9">
                  <c:v>1.1600592657200157</c:v>
                </c:pt>
                <c:pt idx="10">
                  <c:v>1.3257820179657323</c:v>
                </c:pt>
                <c:pt idx="11">
                  <c:v>1.3920711188640189</c:v>
                </c:pt>
                <c:pt idx="12">
                  <c:v>1.4583602197623056</c:v>
                </c:pt>
                <c:pt idx="13">
                  <c:v>1.524649320660592</c:v>
                </c:pt>
                <c:pt idx="14">
                  <c:v>1.5909384215588787</c:v>
                </c:pt>
                <c:pt idx="15">
                  <c:v>1.6572275224571653</c:v>
                </c:pt>
                <c:pt idx="16">
                  <c:v>1.723516623355452</c:v>
                </c:pt>
                <c:pt idx="17">
                  <c:v>1.7898057242537386</c:v>
                </c:pt>
                <c:pt idx="18">
                  <c:v>1.8560948251520251</c:v>
                </c:pt>
                <c:pt idx="19">
                  <c:v>1.9223839260503117</c:v>
                </c:pt>
                <c:pt idx="20">
                  <c:v>1.9886730269485984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14-47BD-98CA-B63172DF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47504"/>
        <c:axId val="1"/>
      </c:scatterChart>
      <c:valAx>
        <c:axId val="577747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Quantity (PJ)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Price ($2010/GJ)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777475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133375328083989"/>
          <c:y val="2.5906735751295335E-2"/>
          <c:w val="0.27733375328083992"/>
          <c:h val="6.2176165803108807E-2"/>
        </c:manualLayout>
      </c:layout>
      <c:overlay val="0"/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'ELC-Ren'!$T$1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dPt>
            <c:idx val="10"/>
            <c:marker>
              <c:symbol val="diamond"/>
              <c:size val="15"/>
            </c:marker>
            <c:bubble3D val="0"/>
            <c:extLst>
              <c:ext xmlns:c16="http://schemas.microsoft.com/office/drawing/2014/chart" uri="{C3380CC4-5D6E-409C-BE32-E72D297353CC}">
                <c16:uniqueId val="{00000001-5F73-45D0-B6E6-B0B28CA058E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3-5F73-45D0-B6E6-B0B28CA058E9}"/>
              </c:ext>
            </c:extLst>
          </c:dPt>
          <c:xVal>
            <c:numRef>
              <c:f>'ELC-Ren'!$S$2:$S$22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'ELC-Ren'!$T$2:$T$22</c:f>
              <c:numCache>
                <c:formatCode>0.00</c:formatCode>
                <c:ptCount val="2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73-45D0-B6E6-B0B28CA058E9}"/>
            </c:ext>
          </c:extLst>
        </c:ser>
        <c:ser>
          <c:idx val="1"/>
          <c:order val="1"/>
          <c:tx>
            <c:strRef>
              <c:f>'ELC-Ren'!$U$1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xVal>
            <c:numRef>
              <c:f>'ELC-Ren'!$S$2:$S$22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'ELC-Ren'!$U$2:$U$22</c:f>
              <c:numCache>
                <c:formatCode>0.00</c:formatCode>
                <c:ptCount val="21"/>
                <c:pt idx="0">
                  <c:v>1.0510100501E-2</c:v>
                </c:pt>
                <c:pt idx="1">
                  <c:v>1.0510100501E-2</c:v>
                </c:pt>
                <c:pt idx="2">
                  <c:v>1.0510100501E-2</c:v>
                </c:pt>
                <c:pt idx="3">
                  <c:v>1.0510100501E-2</c:v>
                </c:pt>
                <c:pt idx="4">
                  <c:v>1.0510100501E-2</c:v>
                </c:pt>
                <c:pt idx="5">
                  <c:v>1.0510100501E-2</c:v>
                </c:pt>
                <c:pt idx="6">
                  <c:v>1.0510100501E-2</c:v>
                </c:pt>
                <c:pt idx="7">
                  <c:v>1.0510100501E-2</c:v>
                </c:pt>
                <c:pt idx="8">
                  <c:v>1.0510100501E-2</c:v>
                </c:pt>
                <c:pt idx="9">
                  <c:v>1.0510100501E-2</c:v>
                </c:pt>
                <c:pt idx="10">
                  <c:v>1.0510100501E-2</c:v>
                </c:pt>
                <c:pt idx="11">
                  <c:v>1.0510100501E-2</c:v>
                </c:pt>
                <c:pt idx="12">
                  <c:v>1.0510100501E-2</c:v>
                </c:pt>
                <c:pt idx="13">
                  <c:v>1.0510100501E-2</c:v>
                </c:pt>
                <c:pt idx="14">
                  <c:v>1.0510100501E-2</c:v>
                </c:pt>
                <c:pt idx="15">
                  <c:v>1.0510100501E-2</c:v>
                </c:pt>
                <c:pt idx="16">
                  <c:v>1.0510100501E-2</c:v>
                </c:pt>
                <c:pt idx="17">
                  <c:v>1.0510100501E-2</c:v>
                </c:pt>
                <c:pt idx="18">
                  <c:v>1.0510100501E-2</c:v>
                </c:pt>
                <c:pt idx="19">
                  <c:v>1.0510100501E-2</c:v>
                </c:pt>
                <c:pt idx="20">
                  <c:v>1.0510100501E-2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73-45D0-B6E6-B0B28CA058E9}"/>
            </c:ext>
          </c:extLst>
        </c:ser>
        <c:ser>
          <c:idx val="2"/>
          <c:order val="2"/>
          <c:tx>
            <c:strRef>
              <c:f>'ELC-Ren'!$V$1</c:f>
              <c:strCache>
                <c:ptCount val="1"/>
                <c:pt idx="0">
                  <c:v>2030</c:v>
                </c:pt>
              </c:strCache>
            </c:strRef>
          </c:tx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7-5F73-45D0-B6E6-B0B28CA058E9}"/>
              </c:ext>
            </c:extLst>
          </c:dPt>
          <c:xVal>
            <c:numRef>
              <c:f>'ELC-Ren'!$S$2:$S$22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'ELC-Ren'!$V$2:$V$22</c:f>
              <c:numCache>
                <c:formatCode>0.00</c:formatCode>
                <c:ptCount val="21"/>
                <c:pt idx="0">
                  <c:v>1.1046221254112048E-2</c:v>
                </c:pt>
                <c:pt idx="1">
                  <c:v>1.1046221254112048E-2</c:v>
                </c:pt>
                <c:pt idx="2">
                  <c:v>1.1046221254112048E-2</c:v>
                </c:pt>
                <c:pt idx="3">
                  <c:v>1.1046221254112048E-2</c:v>
                </c:pt>
                <c:pt idx="4">
                  <c:v>1.1046221254112048E-2</c:v>
                </c:pt>
                <c:pt idx="5">
                  <c:v>1.1046221254112048E-2</c:v>
                </c:pt>
                <c:pt idx="6">
                  <c:v>1.1046221254112048E-2</c:v>
                </c:pt>
                <c:pt idx="7">
                  <c:v>1.1046221254112048E-2</c:v>
                </c:pt>
                <c:pt idx="8">
                  <c:v>1.1046221254112048E-2</c:v>
                </c:pt>
                <c:pt idx="9">
                  <c:v>1.1046221254112048E-2</c:v>
                </c:pt>
                <c:pt idx="10">
                  <c:v>1.1046221254112048E-2</c:v>
                </c:pt>
                <c:pt idx="11">
                  <c:v>1.1046221254112048E-2</c:v>
                </c:pt>
                <c:pt idx="12">
                  <c:v>1.1046221254112048E-2</c:v>
                </c:pt>
                <c:pt idx="13">
                  <c:v>1.1046221254112048E-2</c:v>
                </c:pt>
                <c:pt idx="14">
                  <c:v>1.1046221254112048E-2</c:v>
                </c:pt>
                <c:pt idx="15">
                  <c:v>1.1046221254112048E-2</c:v>
                </c:pt>
                <c:pt idx="16">
                  <c:v>1.1046221254112048E-2</c:v>
                </c:pt>
                <c:pt idx="17">
                  <c:v>1.1046221254112048E-2</c:v>
                </c:pt>
                <c:pt idx="18">
                  <c:v>1.1046221254112048E-2</c:v>
                </c:pt>
                <c:pt idx="19">
                  <c:v>1.1046221254112048E-2</c:v>
                </c:pt>
                <c:pt idx="20">
                  <c:v>1.1046221254112048E-2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73-45D0-B6E6-B0B28CA0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604336"/>
        <c:axId val="1"/>
      </c:scatterChart>
      <c:valAx>
        <c:axId val="5806043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Quantity (PJ)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Price ($2010/GJ)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806043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948324082440515"/>
          <c:y val="2.0283975659229209E-2"/>
          <c:w val="0.26229521435923914"/>
          <c:h val="4.8681541582150101E-2"/>
        </c:manualLayout>
      </c:layout>
      <c:overlay val="0"/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NUC!$T$1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dPt>
            <c:idx val="10"/>
            <c:marker>
              <c:symbol val="diamond"/>
              <c:size val="15"/>
            </c:marker>
            <c:bubble3D val="0"/>
            <c:extLst>
              <c:ext xmlns:c16="http://schemas.microsoft.com/office/drawing/2014/chart" uri="{C3380CC4-5D6E-409C-BE32-E72D297353CC}">
                <c16:uniqueId val="{00000001-FB38-4CAF-9FCC-5CA1F4CAAB2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3-FB38-4CAF-9FCC-5CA1F4CAAB29}"/>
              </c:ext>
            </c:extLst>
          </c:dPt>
          <c:xVal>
            <c:numRef>
              <c:f>NUC!$S$2:$S$22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NUC!$T$2:$T$22</c:f>
              <c:numCache>
                <c:formatCode>0.00</c:formatCode>
                <c:ptCount val="21"/>
                <c:pt idx="0">
                  <c:v>0.88</c:v>
                </c:pt>
                <c:pt idx="1">
                  <c:v>0.89</c:v>
                </c:pt>
                <c:pt idx="2">
                  <c:v>0.91</c:v>
                </c:pt>
                <c:pt idx="3">
                  <c:v>0.92</c:v>
                </c:pt>
                <c:pt idx="4">
                  <c:v>0.93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  <c:pt idx="8">
                  <c:v>0.98</c:v>
                </c:pt>
                <c:pt idx="9">
                  <c:v>0.99</c:v>
                </c:pt>
                <c:pt idx="10">
                  <c:v>1</c:v>
                </c:pt>
                <c:pt idx="11">
                  <c:v>1.02</c:v>
                </c:pt>
                <c:pt idx="12">
                  <c:v>1.04</c:v>
                </c:pt>
                <c:pt idx="13">
                  <c:v>1.06</c:v>
                </c:pt>
                <c:pt idx="14">
                  <c:v>1.08</c:v>
                </c:pt>
                <c:pt idx="15">
                  <c:v>1.1000000000000001</c:v>
                </c:pt>
                <c:pt idx="16">
                  <c:v>1.1200000000000001</c:v>
                </c:pt>
                <c:pt idx="17">
                  <c:v>1.1399999999999999</c:v>
                </c:pt>
                <c:pt idx="18">
                  <c:v>1.1599999999999999</c:v>
                </c:pt>
                <c:pt idx="19">
                  <c:v>1.18</c:v>
                </c:pt>
                <c:pt idx="20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38-4CAF-9FCC-5CA1F4CAAB29}"/>
            </c:ext>
          </c:extLst>
        </c:ser>
        <c:ser>
          <c:idx val="1"/>
          <c:order val="1"/>
          <c:tx>
            <c:strRef>
              <c:f>NUC!$U$1</c:f>
              <c:strCache>
                <c:ptCount val="1"/>
                <c:pt idx="0">
                  <c:v>2020</c:v>
                </c:pt>
              </c:strCache>
            </c:strRef>
          </c:tx>
          <c:marker>
            <c:symbol val="none"/>
          </c:marker>
          <c:xVal>
            <c:numRef>
              <c:f>NUC!$S$2:$S$22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NUC!$U$2:$U$22</c:f>
              <c:numCache>
                <c:formatCode>0.00</c:formatCode>
                <c:ptCount val="21"/>
                <c:pt idx="0">
                  <c:v>0.92488884408799998</c:v>
                </c:pt>
                <c:pt idx="1">
                  <c:v>0.93539894458899997</c:v>
                </c:pt>
                <c:pt idx="2">
                  <c:v>0.95641914559099994</c:v>
                </c:pt>
                <c:pt idx="3">
                  <c:v>0.96692924609199993</c:v>
                </c:pt>
                <c:pt idx="4">
                  <c:v>0.97743934659300002</c:v>
                </c:pt>
                <c:pt idx="5">
                  <c:v>0.99845954759499989</c:v>
                </c:pt>
                <c:pt idx="6">
                  <c:v>1.008969648096</c:v>
                </c:pt>
                <c:pt idx="7">
                  <c:v>1.019479748597</c:v>
                </c:pt>
                <c:pt idx="8">
                  <c:v>1.029989849098</c:v>
                </c:pt>
                <c:pt idx="9">
                  <c:v>1.0404999495989999</c:v>
                </c:pt>
                <c:pt idx="10">
                  <c:v>1.0510100500999999</c:v>
                </c:pt>
                <c:pt idx="11">
                  <c:v>1.0720302511019999</c:v>
                </c:pt>
                <c:pt idx="12">
                  <c:v>1.0930504521039999</c:v>
                </c:pt>
                <c:pt idx="13">
                  <c:v>1.1140706531060001</c:v>
                </c:pt>
                <c:pt idx="14">
                  <c:v>1.135090854108</c:v>
                </c:pt>
                <c:pt idx="15">
                  <c:v>1.15611105511</c:v>
                </c:pt>
                <c:pt idx="16">
                  <c:v>1.177131256112</c:v>
                </c:pt>
                <c:pt idx="17">
                  <c:v>1.1981514571139997</c:v>
                </c:pt>
                <c:pt idx="18">
                  <c:v>1.2191716581159999</c:v>
                </c:pt>
                <c:pt idx="19">
                  <c:v>1.2401918591179999</c:v>
                </c:pt>
                <c:pt idx="20">
                  <c:v>1.2612120601199999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38-4CAF-9FCC-5CA1F4CAAB29}"/>
            </c:ext>
          </c:extLst>
        </c:ser>
        <c:ser>
          <c:idx val="2"/>
          <c:order val="2"/>
          <c:tx>
            <c:strRef>
              <c:f>NUC!$V$1</c:f>
              <c:strCache>
                <c:ptCount val="1"/>
                <c:pt idx="0">
                  <c:v>2030</c:v>
                </c:pt>
              </c:strCache>
            </c:strRef>
          </c:tx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7-FB38-4CAF-9FCC-5CA1F4CAAB29}"/>
              </c:ext>
            </c:extLst>
          </c:dPt>
          <c:xVal>
            <c:numRef>
              <c:f>NUC!$S$2:$S$22</c:f>
              <c:numCache>
                <c:formatCode>General</c:formatCode>
                <c:ptCount val="21"/>
                <c:pt idx="0">
                  <c:v>0.49999999999999961</c:v>
                </c:pt>
                <c:pt idx="1">
                  <c:v>0.5499999999999996</c:v>
                </c:pt>
                <c:pt idx="2">
                  <c:v>0.59999999999999964</c:v>
                </c:pt>
                <c:pt idx="3">
                  <c:v>0.64999999999999969</c:v>
                </c:pt>
                <c:pt idx="4">
                  <c:v>0.69999999999999973</c:v>
                </c:pt>
                <c:pt idx="5">
                  <c:v>0.74999999999999978</c:v>
                </c:pt>
                <c:pt idx="6">
                  <c:v>0.79999999999999982</c:v>
                </c:pt>
                <c:pt idx="7">
                  <c:v>0.84999999999999987</c:v>
                </c:pt>
                <c:pt idx="8">
                  <c:v>0.89999999999999991</c:v>
                </c:pt>
                <c:pt idx="9">
                  <c:v>0.95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1.3000000000000003</c:v>
                </c:pt>
                <c:pt idx="14">
                  <c:v>1.4000000000000004</c:v>
                </c:pt>
                <c:pt idx="15">
                  <c:v>1.5000000000000004</c:v>
                </c:pt>
                <c:pt idx="16">
                  <c:v>1.6000000000000005</c:v>
                </c:pt>
                <c:pt idx="17">
                  <c:v>1.7000000000000006</c:v>
                </c:pt>
                <c:pt idx="18">
                  <c:v>1.8000000000000007</c:v>
                </c:pt>
                <c:pt idx="19">
                  <c:v>1.9000000000000008</c:v>
                </c:pt>
                <c:pt idx="20">
                  <c:v>2.0000000000000009</c:v>
                </c:pt>
              </c:numCache>
            </c:numRef>
          </c:xVal>
          <c:yVal>
            <c:numRef>
              <c:f>NUC!$V$2:$V$22</c:f>
              <c:numCache>
                <c:formatCode>0.00</c:formatCode>
                <c:ptCount val="21"/>
                <c:pt idx="0">
                  <c:v>0.97206747036186014</c:v>
                </c:pt>
                <c:pt idx="1">
                  <c:v>0.98311369161597228</c:v>
                </c:pt>
                <c:pt idx="2">
                  <c:v>1.0052061341241965</c:v>
                </c:pt>
                <c:pt idx="3">
                  <c:v>1.0162523553783085</c:v>
                </c:pt>
                <c:pt idx="4">
                  <c:v>1.0272985766324205</c:v>
                </c:pt>
                <c:pt idx="5">
                  <c:v>1.0493910191406444</c:v>
                </c:pt>
                <c:pt idx="6">
                  <c:v>1.0604372403947566</c:v>
                </c:pt>
                <c:pt idx="7">
                  <c:v>1.0714834616488687</c:v>
                </c:pt>
                <c:pt idx="8">
                  <c:v>1.0825296829029807</c:v>
                </c:pt>
                <c:pt idx="9">
                  <c:v>1.0935759041570927</c:v>
                </c:pt>
                <c:pt idx="10">
                  <c:v>1.1046221254112047</c:v>
                </c:pt>
                <c:pt idx="11">
                  <c:v>1.1267145679194288</c:v>
                </c:pt>
                <c:pt idx="12">
                  <c:v>1.1488070104276529</c:v>
                </c:pt>
                <c:pt idx="13">
                  <c:v>1.1708994529358772</c:v>
                </c:pt>
                <c:pt idx="14">
                  <c:v>1.1929918954441012</c:v>
                </c:pt>
                <c:pt idx="15">
                  <c:v>1.2150843379523253</c:v>
                </c:pt>
                <c:pt idx="16">
                  <c:v>1.2371767804605494</c:v>
                </c:pt>
                <c:pt idx="17">
                  <c:v>1.2592692229687732</c:v>
                </c:pt>
                <c:pt idx="18">
                  <c:v>1.2813616654769975</c:v>
                </c:pt>
                <c:pt idx="19">
                  <c:v>1.3034541079852215</c:v>
                </c:pt>
                <c:pt idx="20">
                  <c:v>1.3255465504934456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B38-4CAF-9FCC-5CA1F4CAA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606256"/>
        <c:axId val="1"/>
      </c:scatterChart>
      <c:valAx>
        <c:axId val="580606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Quantity (PJ)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/>
                  <a:t>Price ($2010/GJ)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806062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901763224181361"/>
          <c:y val="2.0283975659229209E-2"/>
          <c:w val="0.26196473551637278"/>
          <c:h val="4.8681541582150101E-2"/>
        </c:manualLayout>
      </c:layout>
      <c:overlay val="0"/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6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28575</xdr:rowOff>
    </xdr:from>
    <xdr:to>
      <xdr:col>17</xdr:col>
      <xdr:colOff>419100</xdr:colOff>
      <xdr:row>24</xdr:row>
      <xdr:rowOff>152400</xdr:rowOff>
    </xdr:to>
    <xdr:graphicFrame macro="">
      <xdr:nvGraphicFramePr>
        <xdr:cNvPr id="1144" name="Chart 2">
          <a:extLst>
            <a:ext uri="{FF2B5EF4-FFF2-40B4-BE49-F238E27FC236}">
              <a16:creationId xmlns:a16="http://schemas.microsoft.com/office/drawing/2014/main" id="{57EE9F45-A3DB-4035-AAA2-7FE5F5C93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</xdr:row>
      <xdr:rowOff>85725</xdr:rowOff>
    </xdr:from>
    <xdr:to>
      <xdr:col>17</xdr:col>
      <xdr:colOff>76200</xdr:colOff>
      <xdr:row>20</xdr:row>
      <xdr:rowOff>123825</xdr:rowOff>
    </xdr:to>
    <xdr:graphicFrame macro="">
      <xdr:nvGraphicFramePr>
        <xdr:cNvPr id="425027" name="Chart 1">
          <a:extLst>
            <a:ext uri="{FF2B5EF4-FFF2-40B4-BE49-F238E27FC236}">
              <a16:creationId xmlns:a16="http://schemas.microsoft.com/office/drawing/2014/main" id="{F5EC55B4-A36C-47AC-BD2D-541AF7769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28575</xdr:rowOff>
    </xdr:from>
    <xdr:to>
      <xdr:col>17</xdr:col>
      <xdr:colOff>419100</xdr:colOff>
      <xdr:row>24</xdr:row>
      <xdr:rowOff>152400</xdr:rowOff>
    </xdr:to>
    <xdr:graphicFrame macro="">
      <xdr:nvGraphicFramePr>
        <xdr:cNvPr id="8308" name="Chart 1">
          <a:extLst>
            <a:ext uri="{FF2B5EF4-FFF2-40B4-BE49-F238E27FC236}">
              <a16:creationId xmlns:a16="http://schemas.microsoft.com/office/drawing/2014/main" id="{43DADDAC-8C3B-4A80-A233-48DC72B89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28575</xdr:rowOff>
    </xdr:from>
    <xdr:to>
      <xdr:col>17</xdr:col>
      <xdr:colOff>419100</xdr:colOff>
      <xdr:row>24</xdr:row>
      <xdr:rowOff>152400</xdr:rowOff>
    </xdr:to>
    <xdr:graphicFrame macro="">
      <xdr:nvGraphicFramePr>
        <xdr:cNvPr id="42094" name="Chart 1">
          <a:extLst>
            <a:ext uri="{FF2B5EF4-FFF2-40B4-BE49-F238E27FC236}">
              <a16:creationId xmlns:a16="http://schemas.microsoft.com/office/drawing/2014/main" id="{C8195F93-E1F7-460C-860B-2852BD35E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161925</xdr:rowOff>
    </xdr:from>
    <xdr:to>
      <xdr:col>17</xdr:col>
      <xdr:colOff>9525</xdr:colOff>
      <xdr:row>21</xdr:row>
      <xdr:rowOff>28575</xdr:rowOff>
    </xdr:to>
    <xdr:graphicFrame macro="">
      <xdr:nvGraphicFramePr>
        <xdr:cNvPr id="19569" name="Chart 1">
          <a:extLst>
            <a:ext uri="{FF2B5EF4-FFF2-40B4-BE49-F238E27FC236}">
              <a16:creationId xmlns:a16="http://schemas.microsoft.com/office/drawing/2014/main" id="{11F7155E-06DB-48DE-99D1-4C6A38096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28575</xdr:rowOff>
    </xdr:from>
    <xdr:to>
      <xdr:col>17</xdr:col>
      <xdr:colOff>419100</xdr:colOff>
      <xdr:row>24</xdr:row>
      <xdr:rowOff>152400</xdr:rowOff>
    </xdr:to>
    <xdr:graphicFrame macro="">
      <xdr:nvGraphicFramePr>
        <xdr:cNvPr id="227413" name="Chart 1">
          <a:extLst>
            <a:ext uri="{FF2B5EF4-FFF2-40B4-BE49-F238E27FC236}">
              <a16:creationId xmlns:a16="http://schemas.microsoft.com/office/drawing/2014/main" id="{64DB0E33-2C19-4328-AA11-5FC5C7DFE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28575</xdr:rowOff>
    </xdr:from>
    <xdr:to>
      <xdr:col>17</xdr:col>
      <xdr:colOff>419100</xdr:colOff>
      <xdr:row>24</xdr:row>
      <xdr:rowOff>152400</xdr:rowOff>
    </xdr:to>
    <xdr:graphicFrame macro="">
      <xdr:nvGraphicFramePr>
        <xdr:cNvPr id="246867" name="Chart 1">
          <a:extLst>
            <a:ext uri="{FF2B5EF4-FFF2-40B4-BE49-F238E27FC236}">
              <a16:creationId xmlns:a16="http://schemas.microsoft.com/office/drawing/2014/main" id="{63670C8A-6C2E-4688-93EA-9BCB93C57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zoomScale="120" zoomScaleNormal="120" workbookViewId="0"/>
  </sheetViews>
  <sheetFormatPr defaultColWidth="11.42578125" defaultRowHeight="15" x14ac:dyDescent="0.25"/>
  <sheetData>
    <row r="1" spans="1:1" x14ac:dyDescent="0.25">
      <c r="A1" s="22" t="s">
        <v>98</v>
      </c>
    </row>
    <row r="2" spans="1:1" x14ac:dyDescent="0.25">
      <c r="A2" s="23" t="s">
        <v>101</v>
      </c>
    </row>
    <row r="3" spans="1:1" x14ac:dyDescent="0.25">
      <c r="A3" s="23"/>
    </row>
    <row r="4" spans="1:1" x14ac:dyDescent="0.25">
      <c r="A4" s="22" t="s">
        <v>99</v>
      </c>
    </row>
    <row r="5" spans="1:1" x14ac:dyDescent="0.25">
      <c r="A5" s="23" t="s">
        <v>102</v>
      </c>
    </row>
    <row r="6" spans="1:1" s="18" customFormat="1" x14ac:dyDescent="0.25">
      <c r="A6" s="23" t="s">
        <v>104</v>
      </c>
    </row>
    <row r="7" spans="1:1" s="18" customFormat="1" x14ac:dyDescent="0.25">
      <c r="A7" s="23" t="s">
        <v>105</v>
      </c>
    </row>
    <row r="8" spans="1:1" x14ac:dyDescent="0.25">
      <c r="A8" s="23"/>
    </row>
    <row r="9" spans="1:1" x14ac:dyDescent="0.25">
      <c r="A9" s="22" t="s">
        <v>100</v>
      </c>
    </row>
    <row r="10" spans="1:1" x14ac:dyDescent="0.25">
      <c r="A10" s="23" t="s">
        <v>106</v>
      </c>
    </row>
    <row r="11" spans="1:1" x14ac:dyDescent="0.25">
      <c r="A11" s="2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"/>
  <sheetViews>
    <sheetView workbookViewId="0">
      <selection activeCell="F10" sqref="F10"/>
    </sheetView>
  </sheetViews>
  <sheetFormatPr defaultColWidth="8.85546875" defaultRowHeight="15" x14ac:dyDescent="0.25"/>
  <cols>
    <col min="1" max="1" width="20.7109375" bestFit="1" customWidth="1"/>
    <col min="2" max="2" width="3.42578125" bestFit="1" customWidth="1"/>
    <col min="3" max="3" width="16.28515625" bestFit="1" customWidth="1"/>
    <col min="4" max="4" width="9.28515625" bestFit="1" customWidth="1"/>
    <col min="5" max="5" width="6.85546875" bestFit="1" customWidth="1"/>
    <col min="6" max="6" width="8.85546875" bestFit="1" customWidth="1"/>
    <col min="7" max="7" width="9.85546875" bestFit="1" customWidth="1"/>
    <col min="8" max="10" width="8.85546875" customWidth="1"/>
    <col min="11" max="11" width="10.7109375" bestFit="1" customWidth="1"/>
    <col min="12" max="12" width="28.42578125" bestFit="1" customWidth="1"/>
  </cols>
  <sheetData>
    <row r="1" spans="1:24" x14ac:dyDescent="0.25">
      <c r="A1" s="12" t="s">
        <v>48</v>
      </c>
      <c r="T1">
        <v>2010</v>
      </c>
      <c r="U1" s="18">
        <v>2020</v>
      </c>
      <c r="V1" s="18">
        <v>2030</v>
      </c>
    </row>
    <row r="2" spans="1:24" x14ac:dyDescent="0.25">
      <c r="A2" s="12" t="s">
        <v>77</v>
      </c>
      <c r="C2" s="7" t="s">
        <v>33</v>
      </c>
      <c r="D2" t="s">
        <v>8</v>
      </c>
      <c r="E2" t="s">
        <v>9</v>
      </c>
      <c r="R2">
        <f t="shared" ref="R2:R10" si="0">R3+($E$10-$D$10)/($D$12-1)</f>
        <v>3</v>
      </c>
      <c r="S2">
        <f t="shared" ref="S2:S11" si="1">S3-$D$11</f>
        <v>0.49999999999999961</v>
      </c>
      <c r="T2" s="13">
        <f t="shared" ref="T2:T11" si="2">ROUND((S2-$S$12)/$S$12/R2*$T$12+$T$12,4)</f>
        <v>0.83330000000000004</v>
      </c>
      <c r="U2" s="13">
        <f t="shared" ref="U2:U22" si="3">T2*(1+$D$14)^5</f>
        <v>0.8977007604368491</v>
      </c>
      <c r="V2" s="13">
        <f t="shared" ref="V2:V22" si="4">T2*(1+$D$14)^10</f>
        <v>0.96707866949345633</v>
      </c>
      <c r="X2" s="13">
        <v>4.5</v>
      </c>
    </row>
    <row r="3" spans="1:24" x14ac:dyDescent="0.25">
      <c r="D3" s="17">
        <v>1</v>
      </c>
      <c r="E3" s="4">
        <v>1</v>
      </c>
      <c r="R3">
        <f t="shared" si="0"/>
        <v>3</v>
      </c>
      <c r="S3">
        <f t="shared" si="1"/>
        <v>0.5499999999999996</v>
      </c>
      <c r="T3" s="13">
        <f t="shared" si="2"/>
        <v>0.85</v>
      </c>
      <c r="U3" s="13">
        <f t="shared" si="3"/>
        <v>0.91569140330171817</v>
      </c>
      <c r="V3" s="13">
        <f t="shared" si="4"/>
        <v>0.98645970127137628</v>
      </c>
      <c r="X3" s="13">
        <v>4.55</v>
      </c>
    </row>
    <row r="4" spans="1:24" x14ac:dyDescent="0.25">
      <c r="R4">
        <f t="shared" si="0"/>
        <v>3</v>
      </c>
      <c r="S4">
        <f t="shared" si="1"/>
        <v>0.59999999999999964</v>
      </c>
      <c r="T4" s="13">
        <f t="shared" si="2"/>
        <v>0.86670000000000003</v>
      </c>
      <c r="U4" s="13">
        <f t="shared" si="3"/>
        <v>0.93368204616658723</v>
      </c>
      <c r="V4" s="13">
        <f t="shared" si="4"/>
        <v>1.0058407330492962</v>
      </c>
      <c r="X4" s="13">
        <v>4.6000000000000005</v>
      </c>
    </row>
    <row r="5" spans="1:24" x14ac:dyDescent="0.25">
      <c r="R5">
        <f t="shared" si="0"/>
        <v>3</v>
      </c>
      <c r="S5">
        <f t="shared" si="1"/>
        <v>0.64999999999999969</v>
      </c>
      <c r="T5" s="13">
        <f t="shared" si="2"/>
        <v>0.88329999999999997</v>
      </c>
      <c r="U5" s="13">
        <f t="shared" si="3"/>
        <v>0.95156496063106777</v>
      </c>
      <c r="V5" s="13">
        <f t="shared" si="4"/>
        <v>1.0251057107447137</v>
      </c>
      <c r="X5" s="13">
        <v>4.6500000000000004</v>
      </c>
    </row>
    <row r="6" spans="1:24" x14ac:dyDescent="0.25">
      <c r="D6" s="2" t="s">
        <v>10</v>
      </c>
      <c r="E6" s="2" t="s">
        <v>11</v>
      </c>
      <c r="R6">
        <f t="shared" si="0"/>
        <v>3</v>
      </c>
      <c r="S6">
        <f t="shared" si="1"/>
        <v>0.69999999999999973</v>
      </c>
      <c r="T6" s="13">
        <f t="shared" si="2"/>
        <v>0.9</v>
      </c>
      <c r="U6" s="13">
        <f t="shared" si="3"/>
        <v>0.96955560349593684</v>
      </c>
      <c r="V6" s="13">
        <f t="shared" si="4"/>
        <v>1.0444867425226336</v>
      </c>
      <c r="X6" s="13">
        <v>4.6999999999999993</v>
      </c>
    </row>
    <row r="7" spans="1:24" x14ac:dyDescent="0.25">
      <c r="B7" s="25" t="s">
        <v>0</v>
      </c>
      <c r="C7" t="s">
        <v>2</v>
      </c>
      <c r="D7" s="4">
        <v>20</v>
      </c>
      <c r="E7" s="4">
        <v>5</v>
      </c>
      <c r="R7">
        <f t="shared" si="0"/>
        <v>3</v>
      </c>
      <c r="S7">
        <f t="shared" si="1"/>
        <v>0.74999999999999978</v>
      </c>
      <c r="T7" s="13">
        <f t="shared" si="2"/>
        <v>0.91669999999999996</v>
      </c>
      <c r="U7" s="13">
        <f t="shared" si="3"/>
        <v>0.9875462463608059</v>
      </c>
      <c r="V7" s="13">
        <f t="shared" si="4"/>
        <v>1.0638677743005536</v>
      </c>
      <c r="X7" s="13">
        <v>4.75</v>
      </c>
    </row>
    <row r="8" spans="1:24" x14ac:dyDescent="0.25">
      <c r="B8" s="25"/>
      <c r="C8" t="s">
        <v>6</v>
      </c>
      <c r="D8" s="4">
        <v>0.1</v>
      </c>
      <c r="R8">
        <f t="shared" si="0"/>
        <v>3</v>
      </c>
      <c r="S8">
        <f t="shared" si="1"/>
        <v>0.79999999999999982</v>
      </c>
      <c r="T8" s="13">
        <f t="shared" si="2"/>
        <v>0.93330000000000002</v>
      </c>
      <c r="U8" s="13">
        <f t="shared" si="3"/>
        <v>1.0054291608252865</v>
      </c>
      <c r="V8" s="13">
        <f t="shared" si="4"/>
        <v>1.0831327519959713</v>
      </c>
      <c r="X8" s="13">
        <v>4.8</v>
      </c>
    </row>
    <row r="9" spans="1:24" x14ac:dyDescent="0.25">
      <c r="B9" s="25"/>
      <c r="C9" t="s">
        <v>1</v>
      </c>
      <c r="D9" s="4">
        <v>10</v>
      </c>
      <c r="R9">
        <f t="shared" si="0"/>
        <v>3</v>
      </c>
      <c r="S9">
        <f t="shared" si="1"/>
        <v>0.84999999999999987</v>
      </c>
      <c r="T9" s="13">
        <f t="shared" si="2"/>
        <v>0.95</v>
      </c>
      <c r="U9" s="13">
        <f t="shared" si="3"/>
        <v>1.0234198036901556</v>
      </c>
      <c r="V9" s="13">
        <f t="shared" si="4"/>
        <v>1.102513783773891</v>
      </c>
      <c r="X9" s="13">
        <v>4.8499999999999996</v>
      </c>
    </row>
    <row r="10" spans="1:24" x14ac:dyDescent="0.25">
      <c r="B10" s="25" t="s">
        <v>3</v>
      </c>
      <c r="C10" t="s">
        <v>2</v>
      </c>
      <c r="D10" s="4">
        <v>3</v>
      </c>
      <c r="E10" s="4">
        <v>3</v>
      </c>
      <c r="R10">
        <f t="shared" si="0"/>
        <v>3</v>
      </c>
      <c r="S10">
        <f t="shared" si="1"/>
        <v>0.89999999999999991</v>
      </c>
      <c r="T10" s="13">
        <f t="shared" si="2"/>
        <v>0.9667</v>
      </c>
      <c r="U10" s="13">
        <f t="shared" si="3"/>
        <v>1.0414104465550247</v>
      </c>
      <c r="V10" s="13">
        <f t="shared" si="4"/>
        <v>1.1218948155518111</v>
      </c>
      <c r="X10" s="13">
        <v>4.9000000000000004</v>
      </c>
    </row>
    <row r="11" spans="1:24" x14ac:dyDescent="0.25">
      <c r="B11" s="25"/>
      <c r="C11" t="s">
        <v>6</v>
      </c>
      <c r="D11" s="4">
        <f>0.05*E3</f>
        <v>0.05</v>
      </c>
      <c r="R11">
        <f>D10</f>
        <v>3</v>
      </c>
      <c r="S11">
        <f t="shared" si="1"/>
        <v>0.95</v>
      </c>
      <c r="T11" s="13">
        <f t="shared" si="2"/>
        <v>0.98329999999999995</v>
      </c>
      <c r="U11" s="13">
        <f t="shared" si="3"/>
        <v>1.0592933610195052</v>
      </c>
      <c r="V11" s="13">
        <f t="shared" si="4"/>
        <v>1.1411597932472286</v>
      </c>
      <c r="X11" s="13">
        <v>4.95</v>
      </c>
    </row>
    <row r="12" spans="1:24" x14ac:dyDescent="0.25">
      <c r="B12" s="25"/>
      <c r="C12" t="s">
        <v>1</v>
      </c>
      <c r="D12" s="4">
        <v>10</v>
      </c>
      <c r="S12">
        <f>E3</f>
        <v>1</v>
      </c>
      <c r="T12" s="13">
        <f>D3</f>
        <v>1</v>
      </c>
      <c r="U12" s="13">
        <f t="shared" si="3"/>
        <v>1.0772840038843743</v>
      </c>
      <c r="V12" s="13">
        <f t="shared" si="4"/>
        <v>1.1605408250251485</v>
      </c>
      <c r="X12" s="13">
        <v>5</v>
      </c>
    </row>
    <row r="13" spans="1:24" x14ac:dyDescent="0.25">
      <c r="R13">
        <f>D7</f>
        <v>20</v>
      </c>
      <c r="S13">
        <f t="shared" ref="S13:S22" si="5">S12+$D$8</f>
        <v>1.1000000000000001</v>
      </c>
      <c r="T13" s="13">
        <f t="shared" ref="T13:T22" si="6">ROUND((S13-$S$12)/$S$12/R13*$T$12+$T$12,4)</f>
        <v>1.0049999999999999</v>
      </c>
      <c r="U13" s="13">
        <f t="shared" si="3"/>
        <v>1.0826704239037961</v>
      </c>
      <c r="V13" s="13">
        <f t="shared" si="4"/>
        <v>1.1663435291502742</v>
      </c>
      <c r="X13" s="13">
        <v>5.2</v>
      </c>
    </row>
    <row r="14" spans="1:24" x14ac:dyDescent="0.25">
      <c r="C14" t="s">
        <v>7</v>
      </c>
      <c r="D14" s="14">
        <v>1.4999999999999999E-2</v>
      </c>
      <c r="R14">
        <f t="shared" ref="R14:R22" si="7">R13+($E$7-$D$7)/($D$9-1)</f>
        <v>18.333333333333332</v>
      </c>
      <c r="S14">
        <f t="shared" si="5"/>
        <v>1.2000000000000002</v>
      </c>
      <c r="T14" s="13">
        <f t="shared" si="6"/>
        <v>1.0108999999999999</v>
      </c>
      <c r="U14" s="13">
        <f t="shared" si="3"/>
        <v>1.0890263995267138</v>
      </c>
      <c r="V14" s="13">
        <f t="shared" si="4"/>
        <v>1.1731907200179226</v>
      </c>
      <c r="X14" s="13">
        <v>5.4</v>
      </c>
    </row>
    <row r="15" spans="1:24" x14ac:dyDescent="0.25">
      <c r="R15">
        <f t="shared" si="7"/>
        <v>16.666666666666664</v>
      </c>
      <c r="S15">
        <f t="shared" si="5"/>
        <v>1.3000000000000003</v>
      </c>
      <c r="T15" s="13">
        <f t="shared" si="6"/>
        <v>1.018</v>
      </c>
      <c r="U15" s="13">
        <f t="shared" si="3"/>
        <v>1.0966751159542931</v>
      </c>
      <c r="V15" s="13">
        <f t="shared" si="4"/>
        <v>1.1814305598756012</v>
      </c>
      <c r="X15" s="13">
        <v>5.5500000000000007</v>
      </c>
    </row>
    <row r="16" spans="1:24" x14ac:dyDescent="0.25">
      <c r="R16">
        <f t="shared" si="7"/>
        <v>14.999999999999998</v>
      </c>
      <c r="S16">
        <f t="shared" si="5"/>
        <v>1.4000000000000004</v>
      </c>
      <c r="T16" s="13">
        <f t="shared" si="6"/>
        <v>1.0266999999999999</v>
      </c>
      <c r="U16" s="13">
        <f t="shared" si="3"/>
        <v>1.106047486788087</v>
      </c>
      <c r="V16" s="13">
        <f t="shared" si="4"/>
        <v>1.19152726505332</v>
      </c>
      <c r="X16" s="13">
        <v>5.75</v>
      </c>
    </row>
    <row r="17" spans="1:25" x14ac:dyDescent="0.25">
      <c r="R17">
        <f t="shared" si="7"/>
        <v>13.333333333333332</v>
      </c>
      <c r="S17">
        <f t="shared" si="5"/>
        <v>1.5000000000000004</v>
      </c>
      <c r="T17" s="13">
        <f t="shared" si="6"/>
        <v>1.0375000000000001</v>
      </c>
      <c r="U17" s="13">
        <f t="shared" si="3"/>
        <v>1.1176821540300383</v>
      </c>
      <c r="V17" s="13">
        <f t="shared" si="4"/>
        <v>1.2040611059635917</v>
      </c>
      <c r="X17" s="13">
        <v>5.9499999999999993</v>
      </c>
    </row>
    <row r="18" spans="1:25" x14ac:dyDescent="0.25">
      <c r="R18">
        <f t="shared" si="7"/>
        <v>11.666666666666666</v>
      </c>
      <c r="S18">
        <f t="shared" si="5"/>
        <v>1.6000000000000005</v>
      </c>
      <c r="T18" s="13">
        <f t="shared" si="6"/>
        <v>1.0513999999999999</v>
      </c>
      <c r="U18" s="13">
        <f t="shared" si="3"/>
        <v>1.132656401684031</v>
      </c>
      <c r="V18" s="13">
        <f t="shared" si="4"/>
        <v>1.2201926234314411</v>
      </c>
      <c r="X18" s="13">
        <v>6.15</v>
      </c>
    </row>
    <row r="19" spans="1:25" x14ac:dyDescent="0.25">
      <c r="R19">
        <f t="shared" si="7"/>
        <v>10</v>
      </c>
      <c r="S19">
        <f t="shared" si="5"/>
        <v>1.7000000000000006</v>
      </c>
      <c r="T19" s="13">
        <f t="shared" si="6"/>
        <v>1.07</v>
      </c>
      <c r="U19" s="13">
        <f t="shared" si="3"/>
        <v>1.1526938841562806</v>
      </c>
      <c r="V19" s="13">
        <f t="shared" si="4"/>
        <v>1.2417786827769091</v>
      </c>
      <c r="X19" s="13">
        <v>6.3</v>
      </c>
    </row>
    <row r="20" spans="1:25" x14ac:dyDescent="0.25">
      <c r="R20">
        <f t="shared" si="7"/>
        <v>8.3333333333333339</v>
      </c>
      <c r="S20">
        <f t="shared" si="5"/>
        <v>1.8000000000000007</v>
      </c>
      <c r="T20" s="13">
        <f t="shared" si="6"/>
        <v>1.0960000000000001</v>
      </c>
      <c r="U20" s="13">
        <f t="shared" si="3"/>
        <v>1.1807032682572742</v>
      </c>
      <c r="V20" s="13">
        <f t="shared" si="4"/>
        <v>1.2719527442275629</v>
      </c>
      <c r="X20" s="13">
        <v>6.5</v>
      </c>
    </row>
    <row r="21" spans="1:25" x14ac:dyDescent="0.25">
      <c r="R21">
        <f t="shared" si="7"/>
        <v>6.666666666666667</v>
      </c>
      <c r="S21">
        <f t="shared" si="5"/>
        <v>1.9000000000000008</v>
      </c>
      <c r="T21" s="13">
        <f t="shared" si="6"/>
        <v>1.135</v>
      </c>
      <c r="U21" s="13">
        <f t="shared" si="3"/>
        <v>1.2227173444087649</v>
      </c>
      <c r="V21" s="13">
        <f t="shared" si="4"/>
        <v>1.3172138364035435</v>
      </c>
      <c r="X21" s="13">
        <v>6.7</v>
      </c>
    </row>
    <row r="22" spans="1:25" x14ac:dyDescent="0.25">
      <c r="R22">
        <f t="shared" si="7"/>
        <v>5</v>
      </c>
      <c r="S22">
        <f t="shared" si="5"/>
        <v>2.0000000000000009</v>
      </c>
      <c r="T22" s="13">
        <f t="shared" si="6"/>
        <v>1.2</v>
      </c>
      <c r="U22" s="13">
        <f t="shared" si="3"/>
        <v>1.2927408046612492</v>
      </c>
      <c r="V22" s="13">
        <f t="shared" si="4"/>
        <v>1.3926489900301782</v>
      </c>
      <c r="X22" s="13">
        <v>6.8999999999999995</v>
      </c>
    </row>
    <row r="27" spans="1:25" x14ac:dyDescent="0.25">
      <c r="E27" s="24" t="s">
        <v>5</v>
      </c>
      <c r="F27" s="24"/>
      <c r="G27" s="24"/>
      <c r="J27" s="15" t="s">
        <v>34</v>
      </c>
      <c r="K27" s="15"/>
      <c r="L27" s="15"/>
      <c r="M27" s="15"/>
      <c r="N27" s="15"/>
      <c r="O27" s="15"/>
      <c r="P27" s="15"/>
      <c r="Q27" s="15"/>
      <c r="U27" t="s">
        <v>97</v>
      </c>
    </row>
    <row r="28" spans="1:25" x14ac:dyDescent="0.25">
      <c r="D28" s="8" t="s">
        <v>4</v>
      </c>
      <c r="E28" s="6">
        <f t="shared" ref="E28:E49" si="8">T1</f>
        <v>2010</v>
      </c>
      <c r="F28" s="6">
        <f t="shared" ref="F28:F49" si="9">U1</f>
        <v>2020</v>
      </c>
      <c r="G28" s="6">
        <f t="shared" ref="G28:G49" si="10">V1</f>
        <v>2030</v>
      </c>
      <c r="J28" s="15" t="s">
        <v>35</v>
      </c>
      <c r="K28" s="15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5" t="s">
        <v>41</v>
      </c>
      <c r="Q28" s="15" t="s">
        <v>42</v>
      </c>
      <c r="S28" t="s">
        <v>36</v>
      </c>
      <c r="T28" t="s">
        <v>43</v>
      </c>
      <c r="U28" t="s">
        <v>44</v>
      </c>
      <c r="V28" t="s">
        <v>4</v>
      </c>
      <c r="W28">
        <f>E28</f>
        <v>2010</v>
      </c>
      <c r="X28" t="str">
        <f>V28&amp;"~2050"</f>
        <v>ACT_BND~2050</v>
      </c>
      <c r="Y28" s="18"/>
    </row>
    <row r="29" spans="1:25" x14ac:dyDescent="0.25">
      <c r="A29" s="3" t="s">
        <v>12</v>
      </c>
      <c r="C29" s="9" t="str">
        <f>$C$2&amp;"-"&amp;A29</f>
        <v>MinGAS-01</v>
      </c>
      <c r="D29">
        <f>S2</f>
        <v>0.49999999999999961</v>
      </c>
      <c r="E29" s="13">
        <f t="shared" si="8"/>
        <v>0.83330000000000004</v>
      </c>
      <c r="F29" s="13">
        <f t="shared" si="9"/>
        <v>0.8977007604368491</v>
      </c>
      <c r="G29" s="13">
        <f t="shared" si="10"/>
        <v>0.96707866949345633</v>
      </c>
      <c r="J29" s="15" t="s">
        <v>45</v>
      </c>
      <c r="K29" s="15" t="str">
        <f>C29</f>
        <v>MinGAS-01</v>
      </c>
      <c r="L29" s="15" t="str">
        <f>$A$2&amp;" Step - "&amp;A29</f>
        <v>Natural Gas Step - 01</v>
      </c>
      <c r="M29" s="15" t="s">
        <v>46</v>
      </c>
      <c r="N29" s="15" t="s">
        <v>47</v>
      </c>
      <c r="O29" s="15" t="s">
        <v>55</v>
      </c>
      <c r="P29" s="15"/>
      <c r="Q29" s="15"/>
      <c r="S29" t="str">
        <f>K29</f>
        <v>MinGAS-01</v>
      </c>
      <c r="U29" t="str">
        <f>$A$1</f>
        <v>GASNAT</v>
      </c>
      <c r="V29">
        <f>D29</f>
        <v>0.49999999999999961</v>
      </c>
      <c r="W29" s="13">
        <f>E29</f>
        <v>0.83330000000000004</v>
      </c>
      <c r="X29" s="13">
        <f>V29</f>
        <v>0.49999999999999961</v>
      </c>
      <c r="Y29" s="13"/>
    </row>
    <row r="30" spans="1:25" x14ac:dyDescent="0.25">
      <c r="A30" s="3" t="s">
        <v>13</v>
      </c>
      <c r="C30" s="9" t="str">
        <f t="shared" ref="C30:C49" si="11">$C$2&amp;"-"&amp;A30</f>
        <v>MinGAS-02</v>
      </c>
      <c r="D30">
        <f t="shared" ref="D30:D49" si="12">S3-S2</f>
        <v>4.9999999999999989E-2</v>
      </c>
      <c r="E30" s="13">
        <f t="shared" si="8"/>
        <v>0.85</v>
      </c>
      <c r="F30" s="13">
        <f t="shared" si="9"/>
        <v>0.91569140330171817</v>
      </c>
      <c r="G30" s="13">
        <f t="shared" si="10"/>
        <v>0.98645970127137628</v>
      </c>
      <c r="J30" s="15"/>
      <c r="K30" s="15" t="str">
        <f t="shared" ref="K30:K49" si="13">C30</f>
        <v>MinGAS-02</v>
      </c>
      <c r="L30" s="15" t="str">
        <f t="shared" ref="L30:L49" si="14">$A$2&amp;" Step - "&amp;A30</f>
        <v>Natural Gas Step - 02</v>
      </c>
      <c r="M30" s="15" t="s">
        <v>46</v>
      </c>
      <c r="N30" s="15" t="s">
        <v>47</v>
      </c>
      <c r="O30" s="15" t="s">
        <v>55</v>
      </c>
      <c r="P30" s="15"/>
      <c r="Q30" s="15"/>
      <c r="S30" t="str">
        <f t="shared" ref="S30:S49" si="15">K30</f>
        <v>MinGAS-02</v>
      </c>
      <c r="U30" t="str">
        <f t="shared" ref="U30:U49" si="16">$A$1</f>
        <v>GASNAT</v>
      </c>
      <c r="V30">
        <f t="shared" ref="V30:V49" si="17">D30</f>
        <v>4.9999999999999989E-2</v>
      </c>
      <c r="W30" s="13">
        <f t="shared" ref="W30:W49" si="18">E30</f>
        <v>0.85</v>
      </c>
      <c r="X30" s="13">
        <f t="shared" ref="X30:X48" si="19">V30</f>
        <v>4.9999999999999989E-2</v>
      </c>
      <c r="Y30" s="13"/>
    </row>
    <row r="31" spans="1:25" x14ac:dyDescent="0.25">
      <c r="A31" s="3" t="s">
        <v>14</v>
      </c>
      <c r="C31" s="9" t="str">
        <f t="shared" si="11"/>
        <v>MinGAS-03</v>
      </c>
      <c r="D31">
        <f t="shared" si="12"/>
        <v>5.0000000000000044E-2</v>
      </c>
      <c r="E31" s="13">
        <f t="shared" si="8"/>
        <v>0.86670000000000003</v>
      </c>
      <c r="F31" s="13">
        <f t="shared" si="9"/>
        <v>0.93368204616658723</v>
      </c>
      <c r="G31" s="13">
        <f t="shared" si="10"/>
        <v>1.0058407330492962</v>
      </c>
      <c r="J31" s="15"/>
      <c r="K31" s="15" t="str">
        <f t="shared" si="13"/>
        <v>MinGAS-03</v>
      </c>
      <c r="L31" s="15" t="str">
        <f t="shared" si="14"/>
        <v>Natural Gas Step - 03</v>
      </c>
      <c r="M31" s="15" t="s">
        <v>46</v>
      </c>
      <c r="N31" s="15" t="s">
        <v>47</v>
      </c>
      <c r="O31" s="15" t="s">
        <v>55</v>
      </c>
      <c r="P31" s="15"/>
      <c r="Q31" s="15"/>
      <c r="S31" t="str">
        <f t="shared" si="15"/>
        <v>MinGAS-03</v>
      </c>
      <c r="U31" t="str">
        <f t="shared" si="16"/>
        <v>GASNAT</v>
      </c>
      <c r="V31">
        <f t="shared" si="17"/>
        <v>5.0000000000000044E-2</v>
      </c>
      <c r="W31" s="13">
        <f t="shared" si="18"/>
        <v>0.86670000000000003</v>
      </c>
      <c r="X31" s="13">
        <f t="shared" si="19"/>
        <v>5.0000000000000044E-2</v>
      </c>
      <c r="Y31" s="13"/>
    </row>
    <row r="32" spans="1:25" x14ac:dyDescent="0.25">
      <c r="A32" s="3" t="s">
        <v>15</v>
      </c>
      <c r="C32" s="9" t="str">
        <f t="shared" si="11"/>
        <v>MinGAS-04</v>
      </c>
      <c r="D32">
        <f t="shared" si="12"/>
        <v>5.0000000000000044E-2</v>
      </c>
      <c r="E32" s="13">
        <f t="shared" si="8"/>
        <v>0.88329999999999997</v>
      </c>
      <c r="F32" s="13">
        <f t="shared" si="9"/>
        <v>0.95156496063106777</v>
      </c>
      <c r="G32" s="13">
        <f t="shared" si="10"/>
        <v>1.0251057107447137</v>
      </c>
      <c r="J32" s="15"/>
      <c r="K32" s="15" t="str">
        <f t="shared" si="13"/>
        <v>MinGAS-04</v>
      </c>
      <c r="L32" s="15" t="str">
        <f t="shared" si="14"/>
        <v>Natural Gas Step - 04</v>
      </c>
      <c r="M32" s="15" t="s">
        <v>46</v>
      </c>
      <c r="N32" s="15" t="s">
        <v>47</v>
      </c>
      <c r="O32" s="15" t="s">
        <v>55</v>
      </c>
      <c r="P32" s="15"/>
      <c r="Q32" s="15"/>
      <c r="S32" t="str">
        <f t="shared" si="15"/>
        <v>MinGAS-04</v>
      </c>
      <c r="U32" t="str">
        <f t="shared" si="16"/>
        <v>GASNAT</v>
      </c>
      <c r="V32">
        <f t="shared" si="17"/>
        <v>5.0000000000000044E-2</v>
      </c>
      <c r="W32" s="13">
        <f t="shared" si="18"/>
        <v>0.88329999999999997</v>
      </c>
      <c r="X32" s="13">
        <f t="shared" si="19"/>
        <v>5.0000000000000044E-2</v>
      </c>
      <c r="Y32" s="13"/>
    </row>
    <row r="33" spans="1:25" x14ac:dyDescent="0.25">
      <c r="A33" s="3" t="s">
        <v>16</v>
      </c>
      <c r="C33" s="9" t="str">
        <f t="shared" si="11"/>
        <v>MinGAS-05</v>
      </c>
      <c r="D33">
        <f t="shared" si="12"/>
        <v>5.0000000000000044E-2</v>
      </c>
      <c r="E33" s="13">
        <f t="shared" si="8"/>
        <v>0.9</v>
      </c>
      <c r="F33" s="13">
        <f t="shared" si="9"/>
        <v>0.96955560349593684</v>
      </c>
      <c r="G33" s="13">
        <f t="shared" si="10"/>
        <v>1.0444867425226336</v>
      </c>
      <c r="J33" s="15"/>
      <c r="K33" s="15" t="str">
        <f t="shared" si="13"/>
        <v>MinGAS-05</v>
      </c>
      <c r="L33" s="15" t="str">
        <f t="shared" si="14"/>
        <v>Natural Gas Step - 05</v>
      </c>
      <c r="M33" s="15" t="s">
        <v>46</v>
      </c>
      <c r="N33" s="15" t="s">
        <v>47</v>
      </c>
      <c r="O33" s="15" t="s">
        <v>55</v>
      </c>
      <c r="P33" s="15"/>
      <c r="Q33" s="15"/>
      <c r="S33" t="str">
        <f t="shared" si="15"/>
        <v>MinGAS-05</v>
      </c>
      <c r="U33" t="str">
        <f t="shared" si="16"/>
        <v>GASNAT</v>
      </c>
      <c r="V33">
        <f t="shared" si="17"/>
        <v>5.0000000000000044E-2</v>
      </c>
      <c r="W33" s="13">
        <f t="shared" si="18"/>
        <v>0.9</v>
      </c>
      <c r="X33" s="13">
        <f t="shared" si="19"/>
        <v>5.0000000000000044E-2</v>
      </c>
      <c r="Y33" s="13"/>
    </row>
    <row r="34" spans="1:25" x14ac:dyDescent="0.25">
      <c r="A34" s="3" t="s">
        <v>17</v>
      </c>
      <c r="C34" s="9" t="str">
        <f t="shared" si="11"/>
        <v>MinGAS-06</v>
      </c>
      <c r="D34">
        <f t="shared" si="12"/>
        <v>5.0000000000000044E-2</v>
      </c>
      <c r="E34" s="13">
        <f t="shared" si="8"/>
        <v>0.91669999999999996</v>
      </c>
      <c r="F34" s="13">
        <f t="shared" si="9"/>
        <v>0.9875462463608059</v>
      </c>
      <c r="G34" s="13">
        <f t="shared" si="10"/>
        <v>1.0638677743005536</v>
      </c>
      <c r="J34" s="15"/>
      <c r="K34" s="15" t="str">
        <f t="shared" si="13"/>
        <v>MinGAS-06</v>
      </c>
      <c r="L34" s="15" t="str">
        <f t="shared" si="14"/>
        <v>Natural Gas Step - 06</v>
      </c>
      <c r="M34" s="15" t="s">
        <v>46</v>
      </c>
      <c r="N34" s="15" t="s">
        <v>47</v>
      </c>
      <c r="O34" s="15" t="s">
        <v>55</v>
      </c>
      <c r="P34" s="15"/>
      <c r="Q34" s="15"/>
      <c r="S34" t="str">
        <f t="shared" si="15"/>
        <v>MinGAS-06</v>
      </c>
      <c r="U34" t="str">
        <f t="shared" si="16"/>
        <v>GASNAT</v>
      </c>
      <c r="V34">
        <f t="shared" si="17"/>
        <v>5.0000000000000044E-2</v>
      </c>
      <c r="W34" s="13">
        <f t="shared" si="18"/>
        <v>0.91669999999999996</v>
      </c>
      <c r="X34" s="13">
        <f t="shared" si="19"/>
        <v>5.0000000000000044E-2</v>
      </c>
      <c r="Y34" s="13"/>
    </row>
    <row r="35" spans="1:25" x14ac:dyDescent="0.25">
      <c r="A35" s="3" t="s">
        <v>18</v>
      </c>
      <c r="C35" s="9" t="str">
        <f t="shared" si="11"/>
        <v>MinGAS-07</v>
      </c>
      <c r="D35">
        <f t="shared" si="12"/>
        <v>5.0000000000000044E-2</v>
      </c>
      <c r="E35" s="13">
        <f t="shared" si="8"/>
        <v>0.93330000000000002</v>
      </c>
      <c r="F35" s="13">
        <f t="shared" si="9"/>
        <v>1.0054291608252865</v>
      </c>
      <c r="G35" s="13">
        <f t="shared" si="10"/>
        <v>1.0831327519959713</v>
      </c>
      <c r="J35" s="15"/>
      <c r="K35" s="15" t="str">
        <f t="shared" si="13"/>
        <v>MinGAS-07</v>
      </c>
      <c r="L35" s="15" t="str">
        <f t="shared" si="14"/>
        <v>Natural Gas Step - 07</v>
      </c>
      <c r="M35" s="15" t="s">
        <v>46</v>
      </c>
      <c r="N35" s="15" t="s">
        <v>47</v>
      </c>
      <c r="O35" s="15" t="s">
        <v>55</v>
      </c>
      <c r="P35" s="15"/>
      <c r="Q35" s="15"/>
      <c r="S35" t="str">
        <f t="shared" si="15"/>
        <v>MinGAS-07</v>
      </c>
      <c r="U35" t="str">
        <f t="shared" si="16"/>
        <v>GASNAT</v>
      </c>
      <c r="V35">
        <f t="shared" si="17"/>
        <v>5.0000000000000044E-2</v>
      </c>
      <c r="W35" s="13">
        <f t="shared" si="18"/>
        <v>0.93330000000000002</v>
      </c>
      <c r="X35" s="13">
        <f t="shared" si="19"/>
        <v>5.0000000000000044E-2</v>
      </c>
      <c r="Y35" s="13"/>
    </row>
    <row r="36" spans="1:25" x14ac:dyDescent="0.25">
      <c r="A36" s="3" t="s">
        <v>19</v>
      </c>
      <c r="C36" s="9" t="str">
        <f t="shared" si="11"/>
        <v>MinGAS-08</v>
      </c>
      <c r="D36">
        <f t="shared" si="12"/>
        <v>5.0000000000000044E-2</v>
      </c>
      <c r="E36" s="13">
        <f t="shared" si="8"/>
        <v>0.95</v>
      </c>
      <c r="F36" s="13">
        <f t="shared" si="9"/>
        <v>1.0234198036901556</v>
      </c>
      <c r="G36" s="13">
        <f t="shared" si="10"/>
        <v>1.102513783773891</v>
      </c>
      <c r="J36" s="15"/>
      <c r="K36" s="15" t="str">
        <f t="shared" si="13"/>
        <v>MinGAS-08</v>
      </c>
      <c r="L36" s="15" t="str">
        <f t="shared" si="14"/>
        <v>Natural Gas Step - 08</v>
      </c>
      <c r="M36" s="15" t="s">
        <v>46</v>
      </c>
      <c r="N36" s="15" t="s">
        <v>47</v>
      </c>
      <c r="O36" s="15" t="s">
        <v>55</v>
      </c>
      <c r="P36" s="15"/>
      <c r="Q36" s="15"/>
      <c r="S36" t="str">
        <f t="shared" si="15"/>
        <v>MinGAS-08</v>
      </c>
      <c r="U36" t="str">
        <f t="shared" si="16"/>
        <v>GASNAT</v>
      </c>
      <c r="V36">
        <f t="shared" si="17"/>
        <v>5.0000000000000044E-2</v>
      </c>
      <c r="W36" s="13">
        <f t="shared" si="18"/>
        <v>0.95</v>
      </c>
      <c r="X36" s="13">
        <f t="shared" si="19"/>
        <v>5.0000000000000044E-2</v>
      </c>
      <c r="Y36" s="13"/>
    </row>
    <row r="37" spans="1:25" x14ac:dyDescent="0.25">
      <c r="A37" s="3" t="s">
        <v>20</v>
      </c>
      <c r="C37" s="9" t="str">
        <f t="shared" si="11"/>
        <v>MinGAS-09</v>
      </c>
      <c r="D37">
        <f t="shared" si="12"/>
        <v>5.0000000000000044E-2</v>
      </c>
      <c r="E37" s="13">
        <f t="shared" si="8"/>
        <v>0.9667</v>
      </c>
      <c r="F37" s="13">
        <f t="shared" si="9"/>
        <v>1.0414104465550247</v>
      </c>
      <c r="G37" s="13">
        <f t="shared" si="10"/>
        <v>1.1218948155518111</v>
      </c>
      <c r="J37" s="15"/>
      <c r="K37" s="15" t="str">
        <f t="shared" si="13"/>
        <v>MinGAS-09</v>
      </c>
      <c r="L37" s="15" t="str">
        <f t="shared" si="14"/>
        <v>Natural Gas Step - 09</v>
      </c>
      <c r="M37" s="15" t="s">
        <v>46</v>
      </c>
      <c r="N37" s="15" t="s">
        <v>47</v>
      </c>
      <c r="O37" s="15" t="s">
        <v>55</v>
      </c>
      <c r="P37" s="15"/>
      <c r="Q37" s="15"/>
      <c r="S37" t="str">
        <f t="shared" si="15"/>
        <v>MinGAS-09</v>
      </c>
      <c r="U37" t="str">
        <f t="shared" si="16"/>
        <v>GASNAT</v>
      </c>
      <c r="V37">
        <f t="shared" si="17"/>
        <v>5.0000000000000044E-2</v>
      </c>
      <c r="W37" s="13">
        <f t="shared" si="18"/>
        <v>0.9667</v>
      </c>
      <c r="X37" s="13">
        <f t="shared" si="19"/>
        <v>5.0000000000000044E-2</v>
      </c>
      <c r="Y37" s="13"/>
    </row>
    <row r="38" spans="1:25" x14ac:dyDescent="0.25">
      <c r="A38" s="3" t="s">
        <v>21</v>
      </c>
      <c r="C38" s="9" t="str">
        <f t="shared" si="11"/>
        <v>MinGAS-10</v>
      </c>
      <c r="D38">
        <f t="shared" si="12"/>
        <v>5.0000000000000044E-2</v>
      </c>
      <c r="E38" s="13">
        <f t="shared" si="8"/>
        <v>0.98329999999999995</v>
      </c>
      <c r="F38" s="13">
        <f t="shared" si="9"/>
        <v>1.0592933610195052</v>
      </c>
      <c r="G38" s="13">
        <f t="shared" si="10"/>
        <v>1.1411597932472286</v>
      </c>
      <c r="J38" s="15"/>
      <c r="K38" s="15" t="str">
        <f t="shared" si="13"/>
        <v>MinGAS-10</v>
      </c>
      <c r="L38" s="15" t="str">
        <f t="shared" si="14"/>
        <v>Natural Gas Step - 10</v>
      </c>
      <c r="M38" s="15" t="s">
        <v>46</v>
      </c>
      <c r="N38" s="15" t="s">
        <v>47</v>
      </c>
      <c r="O38" s="15" t="s">
        <v>55</v>
      </c>
      <c r="P38" s="15"/>
      <c r="Q38" s="15"/>
      <c r="S38" t="str">
        <f t="shared" si="15"/>
        <v>MinGAS-10</v>
      </c>
      <c r="U38" t="str">
        <f t="shared" si="16"/>
        <v>GASNAT</v>
      </c>
      <c r="V38">
        <f t="shared" si="17"/>
        <v>5.0000000000000044E-2</v>
      </c>
      <c r="W38" s="13">
        <f t="shared" si="18"/>
        <v>0.98329999999999995</v>
      </c>
      <c r="X38" s="13">
        <f t="shared" si="19"/>
        <v>5.0000000000000044E-2</v>
      </c>
      <c r="Y38" s="13"/>
    </row>
    <row r="39" spans="1:25" x14ac:dyDescent="0.25">
      <c r="A39" s="3" t="s">
        <v>22</v>
      </c>
      <c r="C39" s="9" t="str">
        <f t="shared" si="11"/>
        <v>MinGAS-11</v>
      </c>
      <c r="D39" s="10">
        <f t="shared" si="12"/>
        <v>5.0000000000000044E-2</v>
      </c>
      <c r="E39" s="19">
        <f t="shared" si="8"/>
        <v>1</v>
      </c>
      <c r="F39" s="19">
        <f t="shared" si="9"/>
        <v>1.0772840038843743</v>
      </c>
      <c r="G39" s="19">
        <f t="shared" si="10"/>
        <v>1.1605408250251485</v>
      </c>
      <c r="J39" s="15"/>
      <c r="K39" s="15" t="str">
        <f t="shared" si="13"/>
        <v>MinGAS-11</v>
      </c>
      <c r="L39" s="15" t="str">
        <f t="shared" si="14"/>
        <v>Natural Gas Step - 11</v>
      </c>
      <c r="M39" s="15" t="s">
        <v>46</v>
      </c>
      <c r="N39" s="15" t="s">
        <v>47</v>
      </c>
      <c r="O39" s="15" t="s">
        <v>55</v>
      </c>
      <c r="P39" s="15"/>
      <c r="Q39" s="15"/>
      <c r="S39" t="str">
        <f t="shared" si="15"/>
        <v>MinGAS-11</v>
      </c>
      <c r="U39" t="str">
        <f t="shared" si="16"/>
        <v>GASNAT</v>
      </c>
      <c r="V39">
        <f t="shared" si="17"/>
        <v>5.0000000000000044E-2</v>
      </c>
      <c r="W39" s="13">
        <f t="shared" si="18"/>
        <v>1</v>
      </c>
      <c r="X39" s="13">
        <f t="shared" si="19"/>
        <v>5.0000000000000044E-2</v>
      </c>
      <c r="Y39" s="13"/>
    </row>
    <row r="40" spans="1:25" x14ac:dyDescent="0.25">
      <c r="A40" s="3" t="s">
        <v>23</v>
      </c>
      <c r="C40" s="9" t="str">
        <f t="shared" si="11"/>
        <v>MinGAS-12</v>
      </c>
      <c r="D40">
        <f t="shared" si="12"/>
        <v>0.10000000000000009</v>
      </c>
      <c r="E40" s="13">
        <f t="shared" si="8"/>
        <v>1.0049999999999999</v>
      </c>
      <c r="F40" s="13">
        <f t="shared" si="9"/>
        <v>1.0826704239037961</v>
      </c>
      <c r="G40" s="13">
        <f t="shared" si="10"/>
        <v>1.1663435291502742</v>
      </c>
      <c r="J40" s="15"/>
      <c r="K40" s="15" t="str">
        <f t="shared" si="13"/>
        <v>MinGAS-12</v>
      </c>
      <c r="L40" s="15" t="str">
        <f t="shared" si="14"/>
        <v>Natural Gas Step - 12</v>
      </c>
      <c r="M40" s="15" t="s">
        <v>46</v>
      </c>
      <c r="N40" s="15" t="s">
        <v>47</v>
      </c>
      <c r="O40" s="15" t="s">
        <v>55</v>
      </c>
      <c r="P40" s="15"/>
      <c r="Q40" s="15"/>
      <c r="S40" t="str">
        <f t="shared" si="15"/>
        <v>MinGAS-12</v>
      </c>
      <c r="U40" t="str">
        <f t="shared" si="16"/>
        <v>GASNAT</v>
      </c>
      <c r="V40">
        <f t="shared" si="17"/>
        <v>0.10000000000000009</v>
      </c>
      <c r="W40" s="13">
        <f t="shared" si="18"/>
        <v>1.0049999999999999</v>
      </c>
      <c r="X40" s="13">
        <f t="shared" si="19"/>
        <v>0.10000000000000009</v>
      </c>
      <c r="Y40" s="13"/>
    </row>
    <row r="41" spans="1:25" x14ac:dyDescent="0.25">
      <c r="A41" s="3" t="s">
        <v>24</v>
      </c>
      <c r="C41" s="9" t="str">
        <f t="shared" si="11"/>
        <v>MinGAS-13</v>
      </c>
      <c r="D41">
        <f t="shared" si="12"/>
        <v>0.10000000000000009</v>
      </c>
      <c r="E41" s="13">
        <f t="shared" si="8"/>
        <v>1.0108999999999999</v>
      </c>
      <c r="F41" s="13">
        <f t="shared" si="9"/>
        <v>1.0890263995267138</v>
      </c>
      <c r="G41" s="13">
        <f t="shared" si="10"/>
        <v>1.1731907200179226</v>
      </c>
      <c r="J41" s="15"/>
      <c r="K41" s="15" t="str">
        <f t="shared" si="13"/>
        <v>MinGAS-13</v>
      </c>
      <c r="L41" s="15" t="str">
        <f t="shared" si="14"/>
        <v>Natural Gas Step - 13</v>
      </c>
      <c r="M41" s="15" t="s">
        <v>46</v>
      </c>
      <c r="N41" s="15" t="s">
        <v>47</v>
      </c>
      <c r="O41" s="15" t="s">
        <v>55</v>
      </c>
      <c r="P41" s="15"/>
      <c r="Q41" s="15"/>
      <c r="S41" t="str">
        <f t="shared" si="15"/>
        <v>MinGAS-13</v>
      </c>
      <c r="U41" t="str">
        <f t="shared" si="16"/>
        <v>GASNAT</v>
      </c>
      <c r="V41">
        <f t="shared" si="17"/>
        <v>0.10000000000000009</v>
      </c>
      <c r="W41" s="13">
        <f t="shared" si="18"/>
        <v>1.0108999999999999</v>
      </c>
      <c r="X41" s="13">
        <f t="shared" si="19"/>
        <v>0.10000000000000009</v>
      </c>
      <c r="Y41" s="13"/>
    </row>
    <row r="42" spans="1:25" x14ac:dyDescent="0.25">
      <c r="A42" s="3" t="s">
        <v>25</v>
      </c>
      <c r="C42" s="9" t="str">
        <f t="shared" si="11"/>
        <v>MinGAS-14</v>
      </c>
      <c r="D42">
        <f t="shared" si="12"/>
        <v>0.10000000000000009</v>
      </c>
      <c r="E42" s="13">
        <f t="shared" si="8"/>
        <v>1.018</v>
      </c>
      <c r="F42" s="13">
        <f t="shared" si="9"/>
        <v>1.0966751159542931</v>
      </c>
      <c r="G42" s="13">
        <f t="shared" si="10"/>
        <v>1.1814305598756012</v>
      </c>
      <c r="J42" s="15"/>
      <c r="K42" s="15" t="str">
        <f t="shared" si="13"/>
        <v>MinGAS-14</v>
      </c>
      <c r="L42" s="15" t="str">
        <f t="shared" si="14"/>
        <v>Natural Gas Step - 14</v>
      </c>
      <c r="M42" s="15" t="s">
        <v>46</v>
      </c>
      <c r="N42" s="15" t="s">
        <v>47</v>
      </c>
      <c r="O42" s="15" t="s">
        <v>55</v>
      </c>
      <c r="P42" s="15"/>
      <c r="Q42" s="15"/>
      <c r="S42" t="str">
        <f t="shared" si="15"/>
        <v>MinGAS-14</v>
      </c>
      <c r="U42" t="str">
        <f t="shared" si="16"/>
        <v>GASNAT</v>
      </c>
      <c r="V42">
        <f t="shared" si="17"/>
        <v>0.10000000000000009</v>
      </c>
      <c r="W42" s="13">
        <f t="shared" si="18"/>
        <v>1.018</v>
      </c>
      <c r="X42" s="13">
        <f t="shared" si="19"/>
        <v>0.10000000000000009</v>
      </c>
      <c r="Y42" s="13"/>
    </row>
    <row r="43" spans="1:25" x14ac:dyDescent="0.25">
      <c r="A43" s="3" t="s">
        <v>26</v>
      </c>
      <c r="C43" s="9" t="str">
        <f t="shared" si="11"/>
        <v>MinGAS-15</v>
      </c>
      <c r="D43">
        <f t="shared" si="12"/>
        <v>0.10000000000000009</v>
      </c>
      <c r="E43" s="13">
        <f t="shared" si="8"/>
        <v>1.0266999999999999</v>
      </c>
      <c r="F43" s="13">
        <f t="shared" si="9"/>
        <v>1.106047486788087</v>
      </c>
      <c r="G43" s="13">
        <f t="shared" si="10"/>
        <v>1.19152726505332</v>
      </c>
      <c r="J43" s="15"/>
      <c r="K43" s="15" t="str">
        <f t="shared" si="13"/>
        <v>MinGAS-15</v>
      </c>
      <c r="L43" s="15" t="str">
        <f t="shared" si="14"/>
        <v>Natural Gas Step - 15</v>
      </c>
      <c r="M43" s="15" t="s">
        <v>46</v>
      </c>
      <c r="N43" s="15" t="s">
        <v>47</v>
      </c>
      <c r="O43" s="15" t="s">
        <v>55</v>
      </c>
      <c r="P43" s="15"/>
      <c r="Q43" s="15"/>
      <c r="S43" t="str">
        <f t="shared" si="15"/>
        <v>MinGAS-15</v>
      </c>
      <c r="U43" t="str">
        <f t="shared" si="16"/>
        <v>GASNAT</v>
      </c>
      <c r="V43">
        <f t="shared" si="17"/>
        <v>0.10000000000000009</v>
      </c>
      <c r="W43" s="13">
        <f t="shared" si="18"/>
        <v>1.0266999999999999</v>
      </c>
      <c r="X43" s="13">
        <f t="shared" si="19"/>
        <v>0.10000000000000009</v>
      </c>
      <c r="Y43" s="13"/>
    </row>
    <row r="44" spans="1:25" x14ac:dyDescent="0.25">
      <c r="A44" s="3" t="s">
        <v>27</v>
      </c>
      <c r="C44" s="9" t="str">
        <f t="shared" si="11"/>
        <v>MinGAS-16</v>
      </c>
      <c r="D44">
        <f t="shared" si="12"/>
        <v>0.10000000000000009</v>
      </c>
      <c r="E44" s="13">
        <f t="shared" si="8"/>
        <v>1.0375000000000001</v>
      </c>
      <c r="F44" s="13">
        <f t="shared" si="9"/>
        <v>1.1176821540300383</v>
      </c>
      <c r="G44" s="13">
        <f t="shared" si="10"/>
        <v>1.2040611059635917</v>
      </c>
      <c r="J44" s="15"/>
      <c r="K44" s="15" t="str">
        <f t="shared" si="13"/>
        <v>MinGAS-16</v>
      </c>
      <c r="L44" s="15" t="str">
        <f t="shared" si="14"/>
        <v>Natural Gas Step - 16</v>
      </c>
      <c r="M44" s="15" t="s">
        <v>46</v>
      </c>
      <c r="N44" s="15" t="s">
        <v>47</v>
      </c>
      <c r="O44" s="15" t="s">
        <v>55</v>
      </c>
      <c r="P44" s="15"/>
      <c r="Q44" s="15"/>
      <c r="S44" t="str">
        <f t="shared" si="15"/>
        <v>MinGAS-16</v>
      </c>
      <c r="U44" t="str">
        <f t="shared" si="16"/>
        <v>GASNAT</v>
      </c>
      <c r="V44">
        <f t="shared" si="17"/>
        <v>0.10000000000000009</v>
      </c>
      <c r="W44" s="13">
        <f t="shared" si="18"/>
        <v>1.0375000000000001</v>
      </c>
      <c r="X44" s="13">
        <f t="shared" si="19"/>
        <v>0.10000000000000009</v>
      </c>
      <c r="Y44" s="13"/>
    </row>
    <row r="45" spans="1:25" x14ac:dyDescent="0.25">
      <c r="A45" s="3" t="s">
        <v>28</v>
      </c>
      <c r="C45" s="9" t="str">
        <f t="shared" si="11"/>
        <v>MinGAS-17</v>
      </c>
      <c r="D45">
        <f t="shared" si="12"/>
        <v>0.10000000000000009</v>
      </c>
      <c r="E45" s="13">
        <f t="shared" si="8"/>
        <v>1.0513999999999999</v>
      </c>
      <c r="F45" s="13">
        <f t="shared" si="9"/>
        <v>1.132656401684031</v>
      </c>
      <c r="G45" s="13">
        <f t="shared" si="10"/>
        <v>1.2201926234314411</v>
      </c>
      <c r="J45" s="15"/>
      <c r="K45" s="15" t="str">
        <f t="shared" si="13"/>
        <v>MinGAS-17</v>
      </c>
      <c r="L45" s="15" t="str">
        <f t="shared" si="14"/>
        <v>Natural Gas Step - 17</v>
      </c>
      <c r="M45" s="15" t="s">
        <v>46</v>
      </c>
      <c r="N45" s="15" t="s">
        <v>47</v>
      </c>
      <c r="O45" s="15" t="s">
        <v>55</v>
      </c>
      <c r="P45" s="15"/>
      <c r="Q45" s="15"/>
      <c r="S45" t="str">
        <f t="shared" si="15"/>
        <v>MinGAS-17</v>
      </c>
      <c r="U45" t="str">
        <f t="shared" si="16"/>
        <v>GASNAT</v>
      </c>
      <c r="V45">
        <f t="shared" si="17"/>
        <v>0.10000000000000009</v>
      </c>
      <c r="W45" s="13">
        <f t="shared" si="18"/>
        <v>1.0513999999999999</v>
      </c>
      <c r="X45" s="13">
        <f t="shared" si="19"/>
        <v>0.10000000000000009</v>
      </c>
      <c r="Y45" s="13"/>
    </row>
    <row r="46" spans="1:25" x14ac:dyDescent="0.25">
      <c r="A46" s="3" t="s">
        <v>29</v>
      </c>
      <c r="C46" s="9" t="str">
        <f t="shared" si="11"/>
        <v>MinGAS-18</v>
      </c>
      <c r="D46">
        <f t="shared" si="12"/>
        <v>0.10000000000000009</v>
      </c>
      <c r="E46" s="13">
        <f t="shared" si="8"/>
        <v>1.07</v>
      </c>
      <c r="F46" s="13">
        <f t="shared" si="9"/>
        <v>1.1526938841562806</v>
      </c>
      <c r="G46" s="13">
        <f t="shared" si="10"/>
        <v>1.2417786827769091</v>
      </c>
      <c r="J46" s="15"/>
      <c r="K46" s="15" t="str">
        <f t="shared" si="13"/>
        <v>MinGAS-18</v>
      </c>
      <c r="L46" s="15" t="str">
        <f t="shared" si="14"/>
        <v>Natural Gas Step - 18</v>
      </c>
      <c r="M46" s="15" t="s">
        <v>46</v>
      </c>
      <c r="N46" s="15" t="s">
        <v>47</v>
      </c>
      <c r="O46" s="15" t="s">
        <v>55</v>
      </c>
      <c r="P46" s="15"/>
      <c r="Q46" s="15"/>
      <c r="S46" t="str">
        <f t="shared" si="15"/>
        <v>MinGAS-18</v>
      </c>
      <c r="U46" t="str">
        <f t="shared" si="16"/>
        <v>GASNAT</v>
      </c>
      <c r="V46">
        <f t="shared" si="17"/>
        <v>0.10000000000000009</v>
      </c>
      <c r="W46" s="13">
        <f t="shared" si="18"/>
        <v>1.07</v>
      </c>
      <c r="X46" s="13">
        <f t="shared" si="19"/>
        <v>0.10000000000000009</v>
      </c>
      <c r="Y46" s="13"/>
    </row>
    <row r="47" spans="1:25" x14ac:dyDescent="0.25">
      <c r="A47" s="3" t="s">
        <v>30</v>
      </c>
      <c r="C47" s="9" t="str">
        <f t="shared" si="11"/>
        <v>MinGAS-19</v>
      </c>
      <c r="D47">
        <f t="shared" si="12"/>
        <v>0.10000000000000009</v>
      </c>
      <c r="E47" s="13">
        <f t="shared" si="8"/>
        <v>1.0960000000000001</v>
      </c>
      <c r="F47" s="13">
        <f t="shared" si="9"/>
        <v>1.1807032682572742</v>
      </c>
      <c r="G47" s="13">
        <f t="shared" si="10"/>
        <v>1.2719527442275629</v>
      </c>
      <c r="J47" s="15"/>
      <c r="K47" s="15" t="str">
        <f t="shared" si="13"/>
        <v>MinGAS-19</v>
      </c>
      <c r="L47" s="15" t="str">
        <f t="shared" si="14"/>
        <v>Natural Gas Step - 19</v>
      </c>
      <c r="M47" s="15" t="s">
        <v>46</v>
      </c>
      <c r="N47" s="15" t="s">
        <v>47</v>
      </c>
      <c r="O47" s="15" t="s">
        <v>55</v>
      </c>
      <c r="P47" s="15"/>
      <c r="Q47" s="15"/>
      <c r="S47" t="str">
        <f t="shared" si="15"/>
        <v>MinGAS-19</v>
      </c>
      <c r="U47" t="str">
        <f t="shared" si="16"/>
        <v>GASNAT</v>
      </c>
      <c r="V47">
        <f t="shared" si="17"/>
        <v>0.10000000000000009</v>
      </c>
      <c r="W47" s="13">
        <f t="shared" si="18"/>
        <v>1.0960000000000001</v>
      </c>
      <c r="X47" s="13">
        <f t="shared" si="19"/>
        <v>0.10000000000000009</v>
      </c>
      <c r="Y47" s="13"/>
    </row>
    <row r="48" spans="1:25" x14ac:dyDescent="0.25">
      <c r="A48" s="3" t="s">
        <v>31</v>
      </c>
      <c r="C48" s="9" t="str">
        <f t="shared" si="11"/>
        <v>MinGAS-20</v>
      </c>
      <c r="D48">
        <f t="shared" si="12"/>
        <v>0.10000000000000009</v>
      </c>
      <c r="E48" s="13">
        <f t="shared" si="8"/>
        <v>1.135</v>
      </c>
      <c r="F48" s="13">
        <f t="shared" si="9"/>
        <v>1.2227173444087649</v>
      </c>
      <c r="G48" s="13">
        <f t="shared" si="10"/>
        <v>1.3172138364035435</v>
      </c>
      <c r="J48" s="15"/>
      <c r="K48" s="15" t="str">
        <f t="shared" si="13"/>
        <v>MinGAS-20</v>
      </c>
      <c r="L48" s="15" t="str">
        <f t="shared" si="14"/>
        <v>Natural Gas Step - 20</v>
      </c>
      <c r="M48" s="15" t="s">
        <v>46</v>
      </c>
      <c r="N48" s="15" t="s">
        <v>47</v>
      </c>
      <c r="O48" s="15" t="s">
        <v>55</v>
      </c>
      <c r="P48" s="15"/>
      <c r="Q48" s="15"/>
      <c r="S48" t="str">
        <f t="shared" si="15"/>
        <v>MinGAS-20</v>
      </c>
      <c r="U48" t="str">
        <f t="shared" si="16"/>
        <v>GASNAT</v>
      </c>
      <c r="V48">
        <f t="shared" si="17"/>
        <v>0.10000000000000009</v>
      </c>
      <c r="W48" s="13">
        <f t="shared" si="18"/>
        <v>1.135</v>
      </c>
      <c r="X48" s="13">
        <f t="shared" si="19"/>
        <v>0.10000000000000009</v>
      </c>
      <c r="Y48" s="13"/>
    </row>
    <row r="49" spans="1:25" x14ac:dyDescent="0.25">
      <c r="A49" s="3" t="s">
        <v>32</v>
      </c>
      <c r="C49" s="9" t="str">
        <f t="shared" si="11"/>
        <v>MinGAS-21</v>
      </c>
      <c r="D49">
        <f t="shared" si="12"/>
        <v>0.10000000000000009</v>
      </c>
      <c r="E49" s="13">
        <f t="shared" si="8"/>
        <v>1.2</v>
      </c>
      <c r="F49" s="13">
        <f t="shared" si="9"/>
        <v>1.2927408046612492</v>
      </c>
      <c r="G49" s="13">
        <f t="shared" si="10"/>
        <v>1.3926489900301782</v>
      </c>
      <c r="J49" s="15"/>
      <c r="K49" s="15" t="str">
        <f t="shared" si="13"/>
        <v>MinGAS-21</v>
      </c>
      <c r="L49" s="15" t="str">
        <f t="shared" si="14"/>
        <v>Natural Gas Step - 21</v>
      </c>
      <c r="M49" s="15" t="s">
        <v>46</v>
      </c>
      <c r="N49" s="15" t="s">
        <v>47</v>
      </c>
      <c r="O49" s="15" t="s">
        <v>55</v>
      </c>
      <c r="P49" s="15"/>
      <c r="Q49" s="15"/>
      <c r="S49" t="str">
        <f t="shared" si="15"/>
        <v>MinGAS-21</v>
      </c>
      <c r="U49" t="str">
        <f t="shared" si="16"/>
        <v>GASNAT</v>
      </c>
      <c r="V49">
        <f t="shared" si="17"/>
        <v>0.10000000000000009</v>
      </c>
      <c r="W49" s="13">
        <f t="shared" si="18"/>
        <v>1.2</v>
      </c>
      <c r="X49" s="13"/>
      <c r="Y49" s="13"/>
    </row>
    <row r="50" spans="1:25" x14ac:dyDescent="0.25">
      <c r="E50" s="13"/>
      <c r="F50" s="13"/>
      <c r="G50" s="13"/>
    </row>
  </sheetData>
  <mergeCells count="3">
    <mergeCell ref="E27:G27"/>
    <mergeCell ref="B7:B9"/>
    <mergeCell ref="B10:B12"/>
  </mergeCells>
  <pageMargins left="0.7" right="0.7" top="0.75" bottom="0.75" header="0.3" footer="0.3"/>
  <pageSetup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9"/>
  <sheetViews>
    <sheetView workbookViewId="0">
      <selection activeCell="F10" sqref="F10"/>
    </sheetView>
  </sheetViews>
  <sheetFormatPr defaultColWidth="8.85546875" defaultRowHeight="15" x14ac:dyDescent="0.25"/>
  <cols>
    <col min="1" max="1" width="20.7109375" bestFit="1" customWidth="1"/>
    <col min="2" max="2" width="3.42578125" bestFit="1" customWidth="1"/>
    <col min="3" max="3" width="16.28515625" bestFit="1" customWidth="1"/>
    <col min="4" max="4" width="9.28515625" bestFit="1" customWidth="1"/>
    <col min="5" max="5" width="6.85546875" bestFit="1" customWidth="1"/>
    <col min="6" max="6" width="8.85546875" bestFit="1" customWidth="1"/>
    <col min="7" max="7" width="9.85546875" bestFit="1" customWidth="1"/>
    <col min="8" max="10" width="8.85546875" customWidth="1"/>
    <col min="11" max="11" width="10.7109375" bestFit="1" customWidth="1"/>
  </cols>
  <sheetData>
    <row r="1" spans="1:38" x14ac:dyDescent="0.25">
      <c r="A1" s="12" t="s">
        <v>74</v>
      </c>
      <c r="T1">
        <f>'Gas-Min'!$T$1</f>
        <v>2010</v>
      </c>
      <c r="U1" s="18">
        <f>'Gas-Min'!$U$1</f>
        <v>2020</v>
      </c>
      <c r="V1" s="18">
        <f>'Gas-Min'!$V$1</f>
        <v>2030</v>
      </c>
    </row>
    <row r="2" spans="1:38" x14ac:dyDescent="0.25">
      <c r="A2" s="12" t="s">
        <v>78</v>
      </c>
      <c r="C2" s="7" t="s">
        <v>73</v>
      </c>
      <c r="D2" t="s">
        <v>8</v>
      </c>
      <c r="E2" t="s">
        <v>9</v>
      </c>
      <c r="R2">
        <f t="shared" ref="R2:R10" si="0">R3+($E$10-$D$10)/($D$12-1)</f>
        <v>3</v>
      </c>
      <c r="S2">
        <f t="shared" ref="S2:S11" si="1">S3-$D$11</f>
        <v>0.49999999999999961</v>
      </c>
      <c r="T2" s="13">
        <f t="shared" ref="T2:T11" si="2">ROUND((S2-$S$12)/$S$12/R2*$T$12+$T$12,4)</f>
        <v>0.83330000000000004</v>
      </c>
      <c r="U2" s="13">
        <f>T2*(1+$D$14)^(U$1-$T$1)</f>
        <v>0.85011679677461871</v>
      </c>
      <c r="V2" s="13">
        <f>T2*(1+$D$14)^(V$1-$T$1)</f>
        <v>0.86727297270891457</v>
      </c>
      <c r="Y2" s="10"/>
      <c r="Z2" s="10"/>
      <c r="AA2" s="10"/>
      <c r="AB2" s="10"/>
      <c r="AC2" s="10" t="s">
        <v>61</v>
      </c>
      <c r="AD2" s="10"/>
      <c r="AE2" s="10"/>
      <c r="AF2" s="10"/>
      <c r="AG2" s="10"/>
      <c r="AH2" s="10"/>
      <c r="AI2" s="10"/>
      <c r="AJ2" s="10"/>
    </row>
    <row r="3" spans="1:38" x14ac:dyDescent="0.25">
      <c r="D3" s="17">
        <v>1</v>
      </c>
      <c r="E3" s="4">
        <v>1</v>
      </c>
      <c r="R3">
        <f t="shared" si="0"/>
        <v>3</v>
      </c>
      <c r="S3">
        <f t="shared" si="1"/>
        <v>0.5499999999999996</v>
      </c>
      <c r="T3" s="13">
        <f t="shared" si="2"/>
        <v>0.85</v>
      </c>
      <c r="U3" s="13">
        <f t="shared" ref="U3:U22" si="3">T3*(1+$D$14)^(U$1-$T$1)</f>
        <v>0.86715381886286558</v>
      </c>
      <c r="V3" s="13">
        <f t="shared" ref="V3:V22" si="4">T3*(1+$D$14)^(V$1-$T$1)</f>
        <v>0.88465381831582546</v>
      </c>
      <c r="Y3" s="10"/>
      <c r="Z3" s="10"/>
      <c r="AA3" s="10"/>
      <c r="AB3" s="10" t="s">
        <v>62</v>
      </c>
      <c r="AC3" s="10"/>
      <c r="AD3" s="10"/>
      <c r="AE3" s="10" t="s">
        <v>63</v>
      </c>
      <c r="AF3" s="10"/>
      <c r="AG3" s="10"/>
      <c r="AH3" s="10" t="s">
        <v>64</v>
      </c>
      <c r="AI3" s="10"/>
      <c r="AJ3" s="10"/>
    </row>
    <row r="4" spans="1:38" x14ac:dyDescent="0.25">
      <c r="R4">
        <f t="shared" si="0"/>
        <v>3</v>
      </c>
      <c r="S4">
        <f t="shared" si="1"/>
        <v>0.59999999999999964</v>
      </c>
      <c r="T4" s="13">
        <f t="shared" si="2"/>
        <v>0.86670000000000003</v>
      </c>
      <c r="U4" s="13">
        <f t="shared" si="3"/>
        <v>0.88419084095111256</v>
      </c>
      <c r="V4" s="13">
        <f t="shared" si="4"/>
        <v>0.90203466392273646</v>
      </c>
      <c r="Y4" s="10"/>
      <c r="Z4" s="10"/>
      <c r="AA4" s="10">
        <v>2013</v>
      </c>
      <c r="AB4" s="10">
        <v>2020</v>
      </c>
      <c r="AC4" s="10">
        <v>2030</v>
      </c>
      <c r="AD4" s="10">
        <v>2040</v>
      </c>
      <c r="AE4" s="10">
        <v>2020</v>
      </c>
      <c r="AF4" s="10">
        <v>2030</v>
      </c>
      <c r="AG4" s="10">
        <v>2040</v>
      </c>
      <c r="AH4" s="10">
        <v>2020</v>
      </c>
      <c r="AI4" s="10">
        <v>2030</v>
      </c>
      <c r="AJ4" s="10">
        <v>2040</v>
      </c>
    </row>
    <row r="5" spans="1:38" x14ac:dyDescent="0.25">
      <c r="R5">
        <f t="shared" si="0"/>
        <v>3</v>
      </c>
      <c r="S5">
        <f t="shared" si="1"/>
        <v>0.64999999999999969</v>
      </c>
      <c r="T5" s="13">
        <f t="shared" si="2"/>
        <v>0.88329999999999997</v>
      </c>
      <c r="U5" s="13">
        <f t="shared" si="3"/>
        <v>0.9011258449430225</v>
      </c>
      <c r="V5" s="13">
        <f t="shared" si="4"/>
        <v>0.91931143260984549</v>
      </c>
      <c r="Y5" s="10" t="s">
        <v>65</v>
      </c>
      <c r="Z5" s="10" t="s">
        <v>66</v>
      </c>
      <c r="AA5" s="10">
        <v>106</v>
      </c>
      <c r="AB5" s="10">
        <v>112</v>
      </c>
      <c r="AC5" s="10">
        <v>123</v>
      </c>
      <c r="AD5" s="10">
        <v>132</v>
      </c>
      <c r="AE5" s="10">
        <v>116</v>
      </c>
      <c r="AF5" s="10">
        <v>139</v>
      </c>
      <c r="AG5" s="10">
        <v>155</v>
      </c>
      <c r="AH5" s="10">
        <v>105</v>
      </c>
      <c r="AI5" s="10">
        <v>102</v>
      </c>
      <c r="AJ5" s="10">
        <v>100</v>
      </c>
      <c r="AL5">
        <f>1/5.86152</f>
        <v>0.17060421187678282</v>
      </c>
    </row>
    <row r="6" spans="1:38" x14ac:dyDescent="0.25">
      <c r="D6" s="2" t="s">
        <v>10</v>
      </c>
      <c r="E6" s="2" t="s">
        <v>11</v>
      </c>
      <c r="R6">
        <f t="shared" si="0"/>
        <v>3</v>
      </c>
      <c r="S6">
        <f t="shared" si="1"/>
        <v>0.69999999999999973</v>
      </c>
      <c r="T6" s="13">
        <f t="shared" si="2"/>
        <v>0.9</v>
      </c>
      <c r="U6" s="13">
        <f t="shared" si="3"/>
        <v>0.91816286703126948</v>
      </c>
      <c r="V6" s="13">
        <f t="shared" si="4"/>
        <v>0.93669227821675638</v>
      </c>
      <c r="Y6" s="10" t="s">
        <v>67</v>
      </c>
      <c r="Z6" s="10" t="s">
        <v>68</v>
      </c>
      <c r="AA6" s="10">
        <v>10.6</v>
      </c>
      <c r="AB6" s="10">
        <v>11.1</v>
      </c>
      <c r="AC6" s="10">
        <v>12.1</v>
      </c>
      <c r="AD6" s="10">
        <v>12.7</v>
      </c>
      <c r="AE6" s="10">
        <v>11.5</v>
      </c>
      <c r="AF6" s="10">
        <v>13.2</v>
      </c>
      <c r="AG6" s="10">
        <v>14</v>
      </c>
      <c r="AH6" s="10">
        <v>10.5</v>
      </c>
      <c r="AI6" s="10">
        <v>10</v>
      </c>
      <c r="AJ6" s="10">
        <v>9.1999999999999993</v>
      </c>
      <c r="AL6">
        <f>1/1.055055</f>
        <v>0.94781788627133179</v>
      </c>
    </row>
    <row r="7" spans="1:38" x14ac:dyDescent="0.25">
      <c r="B7" s="25" t="s">
        <v>0</v>
      </c>
      <c r="C7" t="s">
        <v>2</v>
      </c>
      <c r="D7" s="4">
        <v>20</v>
      </c>
      <c r="E7" s="4">
        <v>5</v>
      </c>
      <c r="R7">
        <f t="shared" si="0"/>
        <v>3</v>
      </c>
      <c r="S7">
        <f t="shared" si="1"/>
        <v>0.74999999999999978</v>
      </c>
      <c r="T7" s="13">
        <f t="shared" si="2"/>
        <v>0.91669999999999996</v>
      </c>
      <c r="U7" s="13">
        <f t="shared" si="3"/>
        <v>0.93519988911951635</v>
      </c>
      <c r="V7" s="13">
        <f t="shared" si="4"/>
        <v>0.95407312382366727</v>
      </c>
      <c r="Y7" s="10" t="s">
        <v>69</v>
      </c>
      <c r="Z7" s="10" t="s">
        <v>70</v>
      </c>
      <c r="AA7" s="10">
        <v>86</v>
      </c>
      <c r="AB7" s="10">
        <v>101</v>
      </c>
      <c r="AC7" s="10">
        <v>108</v>
      </c>
      <c r="AD7" s="10">
        <v>112</v>
      </c>
      <c r="AE7" s="10">
        <v>107</v>
      </c>
      <c r="AF7" s="10">
        <v>117</v>
      </c>
      <c r="AG7" s="10">
        <v>124</v>
      </c>
      <c r="AH7" s="10">
        <v>88</v>
      </c>
      <c r="AI7" s="10">
        <v>78</v>
      </c>
      <c r="AJ7" s="10">
        <v>77</v>
      </c>
      <c r="AL7">
        <f>1/29.288</f>
        <v>3.414367659109533E-2</v>
      </c>
    </row>
    <row r="8" spans="1:38" x14ac:dyDescent="0.25">
      <c r="B8" s="25"/>
      <c r="C8" t="s">
        <v>6</v>
      </c>
      <c r="D8" s="4">
        <v>0.1</v>
      </c>
      <c r="R8">
        <f t="shared" si="0"/>
        <v>3</v>
      </c>
      <c r="S8">
        <f t="shared" si="1"/>
        <v>0.79999999999999982</v>
      </c>
      <c r="T8" s="13">
        <f t="shared" si="2"/>
        <v>0.93330000000000002</v>
      </c>
      <c r="U8" s="13">
        <f t="shared" si="3"/>
        <v>0.95213489311142641</v>
      </c>
      <c r="V8" s="13">
        <f t="shared" si="4"/>
        <v>0.97134989251077641</v>
      </c>
    </row>
    <row r="9" spans="1:38" x14ac:dyDescent="0.25">
      <c r="B9" s="25"/>
      <c r="C9" t="s">
        <v>1</v>
      </c>
      <c r="D9" s="4">
        <v>10</v>
      </c>
      <c r="R9">
        <f t="shared" si="0"/>
        <v>3</v>
      </c>
      <c r="S9">
        <f t="shared" si="1"/>
        <v>0.84999999999999987</v>
      </c>
      <c r="T9" s="13">
        <f t="shared" si="2"/>
        <v>0.95</v>
      </c>
      <c r="U9" s="13">
        <f t="shared" si="3"/>
        <v>0.96917191519967327</v>
      </c>
      <c r="V9" s="13">
        <f t="shared" si="4"/>
        <v>0.9887307381176873</v>
      </c>
      <c r="Y9" s="10" t="s">
        <v>71</v>
      </c>
      <c r="Z9">
        <v>1</v>
      </c>
    </row>
    <row r="10" spans="1:38" x14ac:dyDescent="0.25">
      <c r="B10" s="25" t="s">
        <v>3</v>
      </c>
      <c r="C10" t="s">
        <v>2</v>
      </c>
      <c r="D10" s="4">
        <v>3</v>
      </c>
      <c r="E10" s="4">
        <v>3</v>
      </c>
      <c r="R10">
        <f t="shared" si="0"/>
        <v>3</v>
      </c>
      <c r="S10">
        <f t="shared" si="1"/>
        <v>0.89999999999999991</v>
      </c>
      <c r="T10" s="13">
        <f t="shared" si="2"/>
        <v>0.9667</v>
      </c>
      <c r="U10" s="13">
        <f t="shared" si="3"/>
        <v>0.98620893728792025</v>
      </c>
      <c r="V10" s="13">
        <f t="shared" si="4"/>
        <v>1.0061115837245982</v>
      </c>
      <c r="AA10">
        <f>AA4</f>
        <v>2013</v>
      </c>
      <c r="AB10">
        <f>AE4</f>
        <v>2020</v>
      </c>
      <c r="AC10">
        <f>AF4</f>
        <v>2030</v>
      </c>
      <c r="AD10">
        <f>AG4</f>
        <v>2040</v>
      </c>
      <c r="AE10" s="16" t="s">
        <v>72</v>
      </c>
    </row>
    <row r="11" spans="1:38" x14ac:dyDescent="0.25">
      <c r="B11" s="25"/>
      <c r="C11" t="s">
        <v>6</v>
      </c>
      <c r="D11" s="4">
        <f>0.05*$E$3</f>
        <v>0.05</v>
      </c>
      <c r="R11">
        <f>D10</f>
        <v>3</v>
      </c>
      <c r="S11">
        <f t="shared" si="1"/>
        <v>0.95</v>
      </c>
      <c r="T11" s="13">
        <f t="shared" si="2"/>
        <v>0.98329999999999995</v>
      </c>
      <c r="U11" s="13">
        <f t="shared" si="3"/>
        <v>1.0031439412798302</v>
      </c>
      <c r="V11" s="13">
        <f t="shared" si="4"/>
        <v>1.0233883524117073</v>
      </c>
      <c r="Z11" t="s">
        <v>51</v>
      </c>
      <c r="AA11" s="13">
        <f>AA5*$AL5*$Z$9</f>
        <v>18.084046458938978</v>
      </c>
      <c r="AB11" s="13">
        <f t="shared" ref="AB11:AD13" si="5">AE5*$AL5*$Z$9</f>
        <v>19.790088577706808</v>
      </c>
      <c r="AC11" s="13">
        <f t="shared" si="5"/>
        <v>23.713985450872812</v>
      </c>
      <c r="AD11" s="13">
        <f t="shared" si="5"/>
        <v>26.443652840901336</v>
      </c>
      <c r="AE11" s="16">
        <v>1.42</v>
      </c>
      <c r="AF11">
        <f>AA11*(1+AE11/100)^(2040-2013)</f>
        <v>26.462628614900016</v>
      </c>
    </row>
    <row r="12" spans="1:38" x14ac:dyDescent="0.25">
      <c r="B12" s="25"/>
      <c r="C12" t="s">
        <v>1</v>
      </c>
      <c r="D12" s="4">
        <v>10</v>
      </c>
      <c r="S12">
        <f>E3</f>
        <v>1</v>
      </c>
      <c r="T12" s="13">
        <f>D3</f>
        <v>1</v>
      </c>
      <c r="U12" s="13">
        <f t="shared" si="3"/>
        <v>1.0201809633680772</v>
      </c>
      <c r="V12" s="13">
        <f t="shared" si="4"/>
        <v>1.0407691980186182</v>
      </c>
      <c r="Z12" t="s">
        <v>50</v>
      </c>
      <c r="AA12" s="13">
        <f>AA6*$AL6*$Z$9</f>
        <v>10.046869594476117</v>
      </c>
      <c r="AB12" s="13">
        <f t="shared" si="5"/>
        <v>10.899905692120315</v>
      </c>
      <c r="AC12" s="13">
        <f t="shared" si="5"/>
        <v>12.511196098781578</v>
      </c>
      <c r="AD12" s="13">
        <f t="shared" si="5"/>
        <v>13.269450407798645</v>
      </c>
      <c r="AE12" s="16">
        <v>1.03</v>
      </c>
      <c r="AF12">
        <f>AA12*(1+AE12/100)^(2040-2013)</f>
        <v>13.249219526530526</v>
      </c>
    </row>
    <row r="13" spans="1:38" x14ac:dyDescent="0.25">
      <c r="R13">
        <f>D7</f>
        <v>20</v>
      </c>
      <c r="S13">
        <f t="shared" ref="S13:S22" si="6">S12+$D$8</f>
        <v>1.1000000000000001</v>
      </c>
      <c r="T13" s="13">
        <f t="shared" ref="T13:T22" si="7">ROUND((S13-$S$12)/$S$12/R13*$T$12+$T$12,4)</f>
        <v>1.0049999999999999</v>
      </c>
      <c r="U13" s="13">
        <f t="shared" si="3"/>
        <v>1.0252818681849174</v>
      </c>
      <c r="V13" s="13">
        <f t="shared" si="4"/>
        <v>1.0459730440087112</v>
      </c>
      <c r="Z13" t="s">
        <v>52</v>
      </c>
      <c r="AA13" s="13">
        <f>AA7*$AL7*$Z$9</f>
        <v>2.9363561868341983</v>
      </c>
      <c r="AB13" s="13">
        <f t="shared" si="5"/>
        <v>3.6533733952472005</v>
      </c>
      <c r="AC13" s="13">
        <f t="shared" si="5"/>
        <v>3.9948101611581537</v>
      </c>
      <c r="AD13" s="13">
        <f t="shared" si="5"/>
        <v>4.2338158972958206</v>
      </c>
      <c r="AE13" s="16">
        <v>1.38</v>
      </c>
      <c r="AF13">
        <f>AA13*(1+AE13/100)^(2040-2013)</f>
        <v>4.2512875540560211</v>
      </c>
    </row>
    <row r="14" spans="1:38" x14ac:dyDescent="0.25">
      <c r="C14" t="s">
        <v>7</v>
      </c>
      <c r="D14" s="14">
        <v>2E-3</v>
      </c>
      <c r="R14">
        <f t="shared" ref="R14:R22" si="8">R13+($E$7-$D$7)/($D$9-1)</f>
        <v>18.333333333333332</v>
      </c>
      <c r="S14">
        <f t="shared" si="6"/>
        <v>1.2000000000000002</v>
      </c>
      <c r="T14" s="13">
        <f t="shared" si="7"/>
        <v>1.0108999999999999</v>
      </c>
      <c r="U14" s="13">
        <f t="shared" si="3"/>
        <v>1.031300935868789</v>
      </c>
      <c r="V14" s="13">
        <f t="shared" si="4"/>
        <v>1.0521135822770211</v>
      </c>
    </row>
    <row r="15" spans="1:38" x14ac:dyDescent="0.25">
      <c r="R15">
        <f t="shared" si="8"/>
        <v>16.666666666666664</v>
      </c>
      <c r="S15">
        <f t="shared" si="6"/>
        <v>1.3000000000000003</v>
      </c>
      <c r="T15" s="13">
        <f t="shared" si="7"/>
        <v>1.018</v>
      </c>
      <c r="U15" s="13">
        <f t="shared" si="3"/>
        <v>1.0385442207087026</v>
      </c>
      <c r="V15" s="13">
        <f t="shared" si="4"/>
        <v>1.0595030435829533</v>
      </c>
    </row>
    <row r="16" spans="1:38" x14ac:dyDescent="0.25">
      <c r="R16">
        <f t="shared" si="8"/>
        <v>14.999999999999998</v>
      </c>
      <c r="S16">
        <f t="shared" si="6"/>
        <v>1.4000000000000004</v>
      </c>
      <c r="T16" s="13">
        <f t="shared" si="7"/>
        <v>1.0266999999999999</v>
      </c>
      <c r="U16" s="13">
        <f t="shared" si="3"/>
        <v>1.0474197950900048</v>
      </c>
      <c r="V16" s="13">
        <f t="shared" si="4"/>
        <v>1.0685577356057152</v>
      </c>
    </row>
    <row r="17" spans="1:25" x14ac:dyDescent="0.25">
      <c r="R17">
        <f t="shared" si="8"/>
        <v>13.333333333333332</v>
      </c>
      <c r="S17">
        <f t="shared" si="6"/>
        <v>1.5000000000000004</v>
      </c>
      <c r="T17" s="13">
        <f t="shared" si="7"/>
        <v>1.0375000000000001</v>
      </c>
      <c r="U17" s="13">
        <f t="shared" si="3"/>
        <v>1.0584377494943802</v>
      </c>
      <c r="V17" s="13">
        <f t="shared" si="4"/>
        <v>1.0797980429443166</v>
      </c>
    </row>
    <row r="18" spans="1:25" x14ac:dyDescent="0.25">
      <c r="R18">
        <f t="shared" si="8"/>
        <v>11.666666666666666</v>
      </c>
      <c r="S18">
        <f t="shared" si="6"/>
        <v>1.6000000000000005</v>
      </c>
      <c r="T18" s="13">
        <f t="shared" si="7"/>
        <v>1.0513999999999999</v>
      </c>
      <c r="U18" s="13">
        <f t="shared" si="3"/>
        <v>1.0726182648851963</v>
      </c>
      <c r="V18" s="13">
        <f t="shared" si="4"/>
        <v>1.0942647347967751</v>
      </c>
    </row>
    <row r="19" spans="1:25" x14ac:dyDescent="0.25">
      <c r="R19">
        <f t="shared" si="8"/>
        <v>10</v>
      </c>
      <c r="S19">
        <f t="shared" si="6"/>
        <v>1.7000000000000006</v>
      </c>
      <c r="T19" s="13">
        <f t="shared" si="7"/>
        <v>1.07</v>
      </c>
      <c r="U19" s="13">
        <f t="shared" si="3"/>
        <v>1.0915936308038428</v>
      </c>
      <c r="V19" s="13">
        <f t="shared" si="4"/>
        <v>1.1136230418799216</v>
      </c>
    </row>
    <row r="20" spans="1:25" x14ac:dyDescent="0.25">
      <c r="R20">
        <f t="shared" si="8"/>
        <v>8.3333333333333339</v>
      </c>
      <c r="S20">
        <f t="shared" si="6"/>
        <v>1.8000000000000007</v>
      </c>
      <c r="T20" s="13">
        <f t="shared" si="7"/>
        <v>1.0960000000000001</v>
      </c>
      <c r="U20" s="13">
        <f t="shared" si="3"/>
        <v>1.1181183358514126</v>
      </c>
      <c r="V20" s="13">
        <f t="shared" si="4"/>
        <v>1.1406830410284057</v>
      </c>
    </row>
    <row r="21" spans="1:25" x14ac:dyDescent="0.25">
      <c r="R21">
        <f t="shared" si="8"/>
        <v>6.666666666666667</v>
      </c>
      <c r="S21">
        <f t="shared" si="6"/>
        <v>1.9000000000000008</v>
      </c>
      <c r="T21" s="13">
        <f t="shared" si="7"/>
        <v>1.135</v>
      </c>
      <c r="U21" s="13">
        <f t="shared" si="3"/>
        <v>1.1579053934227677</v>
      </c>
      <c r="V21" s="13">
        <f t="shared" si="4"/>
        <v>1.1812730397511317</v>
      </c>
    </row>
    <row r="22" spans="1:25" x14ac:dyDescent="0.25">
      <c r="R22">
        <f t="shared" si="8"/>
        <v>5</v>
      </c>
      <c r="S22">
        <f t="shared" si="6"/>
        <v>2.0000000000000009</v>
      </c>
      <c r="T22" s="13">
        <f t="shared" si="7"/>
        <v>1.2</v>
      </c>
      <c r="U22" s="13">
        <f t="shared" si="3"/>
        <v>1.2242171560416926</v>
      </c>
      <c r="V22" s="13">
        <f t="shared" si="4"/>
        <v>1.2489230376223419</v>
      </c>
    </row>
    <row r="27" spans="1:25" x14ac:dyDescent="0.25">
      <c r="E27" s="24" t="s">
        <v>5</v>
      </c>
      <c r="F27" s="24"/>
      <c r="G27" s="24"/>
      <c r="J27" s="15" t="s">
        <v>34</v>
      </c>
      <c r="K27" s="15"/>
      <c r="L27" s="15"/>
      <c r="M27" s="15"/>
      <c r="N27" s="15"/>
      <c r="O27" s="15"/>
      <c r="P27" s="15"/>
      <c r="Q27" s="15"/>
      <c r="U27" s="18" t="s">
        <v>97</v>
      </c>
    </row>
    <row r="28" spans="1:25" x14ac:dyDescent="0.25">
      <c r="D28" s="8" t="s">
        <v>4</v>
      </c>
      <c r="E28" s="6">
        <f t="shared" ref="E28:G43" si="9">T1</f>
        <v>2010</v>
      </c>
      <c r="F28" s="6">
        <f t="shared" si="9"/>
        <v>2020</v>
      </c>
      <c r="G28" s="6">
        <f t="shared" si="9"/>
        <v>2030</v>
      </c>
      <c r="J28" s="15" t="s">
        <v>35</v>
      </c>
      <c r="K28" s="15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5" t="s">
        <v>41</v>
      </c>
      <c r="Q28" s="15" t="s">
        <v>42</v>
      </c>
      <c r="S28" t="s">
        <v>36</v>
      </c>
      <c r="T28" t="s">
        <v>43</v>
      </c>
      <c r="U28" t="s">
        <v>44</v>
      </c>
      <c r="V28" t="s">
        <v>4</v>
      </c>
      <c r="W28">
        <f>E28</f>
        <v>2010</v>
      </c>
      <c r="X28" t="str">
        <f>V28&amp;"~2050"</f>
        <v>ACT_BND~2050</v>
      </c>
    </row>
    <row r="29" spans="1:25" x14ac:dyDescent="0.25">
      <c r="A29" s="3" t="s">
        <v>12</v>
      </c>
      <c r="C29" s="9" t="str">
        <f>$C$2&amp;"-"&amp;A29</f>
        <v>MinCoa-01</v>
      </c>
      <c r="D29">
        <f>S2</f>
        <v>0.49999999999999961</v>
      </c>
      <c r="E29" s="1">
        <f t="shared" si="9"/>
        <v>0.83330000000000004</v>
      </c>
      <c r="F29" s="1">
        <f t="shared" si="9"/>
        <v>0.85011679677461871</v>
      </c>
      <c r="G29" s="1">
        <f t="shared" si="9"/>
        <v>0.86727297270891457</v>
      </c>
      <c r="J29" s="15" t="s">
        <v>45</v>
      </c>
      <c r="K29" s="15" t="str">
        <f>C29</f>
        <v>MinCoa-01</v>
      </c>
      <c r="L29" s="15" t="str">
        <f>$A$2&amp;" Step - "&amp;A29</f>
        <v>Bituminous Coal Step - 01</v>
      </c>
      <c r="M29" s="15" t="s">
        <v>46</v>
      </c>
      <c r="N29" s="15" t="s">
        <v>47</v>
      </c>
      <c r="O29" s="15"/>
      <c r="P29" s="15"/>
      <c r="Q29" s="15"/>
      <c r="S29" t="str">
        <f>K29</f>
        <v>MinCoa-01</v>
      </c>
      <c r="U29" t="str">
        <f>$A$1</f>
        <v>COABIT</v>
      </c>
      <c r="V29">
        <f t="shared" ref="V29:W49" si="10">D29</f>
        <v>0.49999999999999961</v>
      </c>
      <c r="W29" s="13">
        <f t="shared" si="10"/>
        <v>0.83330000000000004</v>
      </c>
      <c r="X29" s="13">
        <f>V29</f>
        <v>0.49999999999999961</v>
      </c>
      <c r="Y29" s="13"/>
    </row>
    <row r="30" spans="1:25" x14ac:dyDescent="0.25">
      <c r="A30" s="3" t="s">
        <v>13</v>
      </c>
      <c r="C30" s="9" t="str">
        <f t="shared" ref="C30:C49" si="11">$C$2&amp;"-"&amp;A30</f>
        <v>MinCoa-02</v>
      </c>
      <c r="D30">
        <f t="shared" ref="D30:D49" si="12">S3-S2</f>
        <v>4.9999999999999989E-2</v>
      </c>
      <c r="E30" s="1">
        <f t="shared" si="9"/>
        <v>0.85</v>
      </c>
      <c r="F30" s="1">
        <f t="shared" si="9"/>
        <v>0.86715381886286558</v>
      </c>
      <c r="G30" s="1">
        <f t="shared" si="9"/>
        <v>0.88465381831582546</v>
      </c>
      <c r="J30" s="15"/>
      <c r="K30" s="15" t="str">
        <f t="shared" ref="K30:K49" si="13">C30</f>
        <v>MinCoa-02</v>
      </c>
      <c r="L30" s="15" t="str">
        <f t="shared" ref="L30:L49" si="14">$A$2&amp;" Step - "&amp;A30</f>
        <v>Bituminous Coal Step - 02</v>
      </c>
      <c r="M30" s="15" t="s">
        <v>46</v>
      </c>
      <c r="N30" s="15" t="s">
        <v>47</v>
      </c>
      <c r="O30" s="15"/>
      <c r="P30" s="15"/>
      <c r="Q30" s="15"/>
      <c r="S30" t="str">
        <f t="shared" ref="S30:S49" si="15">K30</f>
        <v>MinCoa-02</v>
      </c>
      <c r="U30" t="str">
        <f t="shared" ref="U30:U49" si="16">$A$1</f>
        <v>COABIT</v>
      </c>
      <c r="V30">
        <f t="shared" si="10"/>
        <v>4.9999999999999989E-2</v>
      </c>
      <c r="W30" s="13">
        <f t="shared" si="10"/>
        <v>0.85</v>
      </c>
      <c r="X30" s="13">
        <f t="shared" ref="X30:X48" si="17">V30</f>
        <v>4.9999999999999989E-2</v>
      </c>
      <c r="Y30" s="13"/>
    </row>
    <row r="31" spans="1:25" x14ac:dyDescent="0.25">
      <c r="A31" s="3" t="s">
        <v>14</v>
      </c>
      <c r="C31" s="9" t="str">
        <f t="shared" si="11"/>
        <v>MinCoa-03</v>
      </c>
      <c r="D31">
        <f t="shared" si="12"/>
        <v>5.0000000000000044E-2</v>
      </c>
      <c r="E31" s="1">
        <f t="shared" si="9"/>
        <v>0.86670000000000003</v>
      </c>
      <c r="F31" s="1">
        <f t="shared" si="9"/>
        <v>0.88419084095111256</v>
      </c>
      <c r="G31" s="1">
        <f t="shared" si="9"/>
        <v>0.90203466392273646</v>
      </c>
      <c r="J31" s="15"/>
      <c r="K31" s="15" t="str">
        <f t="shared" si="13"/>
        <v>MinCoa-03</v>
      </c>
      <c r="L31" s="15" t="str">
        <f t="shared" si="14"/>
        <v>Bituminous Coal Step - 03</v>
      </c>
      <c r="M31" s="15" t="s">
        <v>46</v>
      </c>
      <c r="N31" s="15" t="s">
        <v>47</v>
      </c>
      <c r="O31" s="15"/>
      <c r="P31" s="15"/>
      <c r="Q31" s="15"/>
      <c r="S31" t="str">
        <f t="shared" si="15"/>
        <v>MinCoa-03</v>
      </c>
      <c r="U31" t="str">
        <f t="shared" si="16"/>
        <v>COABIT</v>
      </c>
      <c r="V31">
        <f t="shared" si="10"/>
        <v>5.0000000000000044E-2</v>
      </c>
      <c r="W31" s="13">
        <f t="shared" si="10"/>
        <v>0.86670000000000003</v>
      </c>
      <c r="X31" s="13">
        <f t="shared" si="17"/>
        <v>5.0000000000000044E-2</v>
      </c>
      <c r="Y31" s="13"/>
    </row>
    <row r="32" spans="1:25" x14ac:dyDescent="0.25">
      <c r="A32" s="3" t="s">
        <v>15</v>
      </c>
      <c r="C32" s="9" t="str">
        <f t="shared" si="11"/>
        <v>MinCoa-04</v>
      </c>
      <c r="D32">
        <f t="shared" si="12"/>
        <v>5.0000000000000044E-2</v>
      </c>
      <c r="E32" s="1">
        <f t="shared" si="9"/>
        <v>0.88329999999999997</v>
      </c>
      <c r="F32" s="1">
        <f t="shared" si="9"/>
        <v>0.9011258449430225</v>
      </c>
      <c r="G32" s="1">
        <f t="shared" si="9"/>
        <v>0.91931143260984549</v>
      </c>
      <c r="J32" s="15"/>
      <c r="K32" s="15" t="str">
        <f t="shared" si="13"/>
        <v>MinCoa-04</v>
      </c>
      <c r="L32" s="15" t="str">
        <f t="shared" si="14"/>
        <v>Bituminous Coal Step - 04</v>
      </c>
      <c r="M32" s="15" t="s">
        <v>46</v>
      </c>
      <c r="N32" s="15" t="s">
        <v>47</v>
      </c>
      <c r="O32" s="15"/>
      <c r="P32" s="15"/>
      <c r="Q32" s="15"/>
      <c r="S32" t="str">
        <f t="shared" si="15"/>
        <v>MinCoa-04</v>
      </c>
      <c r="U32" t="str">
        <f t="shared" si="16"/>
        <v>COABIT</v>
      </c>
      <c r="V32">
        <f t="shared" si="10"/>
        <v>5.0000000000000044E-2</v>
      </c>
      <c r="W32" s="13">
        <f t="shared" si="10"/>
        <v>0.88329999999999997</v>
      </c>
      <c r="X32" s="13">
        <f t="shared" si="17"/>
        <v>5.0000000000000044E-2</v>
      </c>
      <c r="Y32" s="13"/>
    </row>
    <row r="33" spans="1:25" x14ac:dyDescent="0.25">
      <c r="A33" s="3" t="s">
        <v>16</v>
      </c>
      <c r="C33" s="9" t="str">
        <f t="shared" si="11"/>
        <v>MinCoa-05</v>
      </c>
      <c r="D33">
        <f t="shared" si="12"/>
        <v>5.0000000000000044E-2</v>
      </c>
      <c r="E33" s="1">
        <f t="shared" si="9"/>
        <v>0.9</v>
      </c>
      <c r="F33" s="1">
        <f t="shared" si="9"/>
        <v>0.91816286703126948</v>
      </c>
      <c r="G33" s="1">
        <f t="shared" si="9"/>
        <v>0.93669227821675638</v>
      </c>
      <c r="J33" s="15"/>
      <c r="K33" s="15" t="str">
        <f t="shared" si="13"/>
        <v>MinCoa-05</v>
      </c>
      <c r="L33" s="15" t="str">
        <f t="shared" si="14"/>
        <v>Bituminous Coal Step - 05</v>
      </c>
      <c r="M33" s="15" t="s">
        <v>46</v>
      </c>
      <c r="N33" s="15" t="s">
        <v>47</v>
      </c>
      <c r="O33" s="15"/>
      <c r="P33" s="15"/>
      <c r="Q33" s="15"/>
      <c r="S33" t="str">
        <f t="shared" si="15"/>
        <v>MinCoa-05</v>
      </c>
      <c r="U33" t="str">
        <f t="shared" si="16"/>
        <v>COABIT</v>
      </c>
      <c r="V33">
        <f t="shared" si="10"/>
        <v>5.0000000000000044E-2</v>
      </c>
      <c r="W33" s="13">
        <f t="shared" si="10"/>
        <v>0.9</v>
      </c>
      <c r="X33" s="13">
        <f t="shared" si="17"/>
        <v>5.0000000000000044E-2</v>
      </c>
      <c r="Y33" s="13"/>
    </row>
    <row r="34" spans="1:25" x14ac:dyDescent="0.25">
      <c r="A34" s="3" t="s">
        <v>17</v>
      </c>
      <c r="C34" s="9" t="str">
        <f t="shared" si="11"/>
        <v>MinCoa-06</v>
      </c>
      <c r="D34">
        <f t="shared" si="12"/>
        <v>5.0000000000000044E-2</v>
      </c>
      <c r="E34" s="1">
        <f t="shared" si="9"/>
        <v>0.91669999999999996</v>
      </c>
      <c r="F34" s="1">
        <f t="shared" si="9"/>
        <v>0.93519988911951635</v>
      </c>
      <c r="G34" s="1">
        <f t="shared" si="9"/>
        <v>0.95407312382366727</v>
      </c>
      <c r="J34" s="15"/>
      <c r="K34" s="15" t="str">
        <f t="shared" si="13"/>
        <v>MinCoa-06</v>
      </c>
      <c r="L34" s="15" t="str">
        <f t="shared" si="14"/>
        <v>Bituminous Coal Step - 06</v>
      </c>
      <c r="M34" s="15" t="s">
        <v>46</v>
      </c>
      <c r="N34" s="15" t="s">
        <v>47</v>
      </c>
      <c r="O34" s="15"/>
      <c r="P34" s="15"/>
      <c r="Q34" s="15"/>
      <c r="S34" t="str">
        <f t="shared" si="15"/>
        <v>MinCoa-06</v>
      </c>
      <c r="U34" t="str">
        <f t="shared" si="16"/>
        <v>COABIT</v>
      </c>
      <c r="V34">
        <f t="shared" si="10"/>
        <v>5.0000000000000044E-2</v>
      </c>
      <c r="W34" s="13">
        <f t="shared" si="10"/>
        <v>0.91669999999999996</v>
      </c>
      <c r="X34" s="13">
        <f t="shared" si="17"/>
        <v>5.0000000000000044E-2</v>
      </c>
      <c r="Y34" s="13"/>
    </row>
    <row r="35" spans="1:25" x14ac:dyDescent="0.25">
      <c r="A35" s="3" t="s">
        <v>18</v>
      </c>
      <c r="C35" s="9" t="str">
        <f t="shared" si="11"/>
        <v>MinCoa-07</v>
      </c>
      <c r="D35">
        <f t="shared" si="12"/>
        <v>5.0000000000000044E-2</v>
      </c>
      <c r="E35" s="1">
        <f t="shared" si="9"/>
        <v>0.93330000000000002</v>
      </c>
      <c r="F35" s="1">
        <f t="shared" si="9"/>
        <v>0.95213489311142641</v>
      </c>
      <c r="G35" s="1">
        <f t="shared" si="9"/>
        <v>0.97134989251077641</v>
      </c>
      <c r="J35" s="15"/>
      <c r="K35" s="15" t="str">
        <f t="shared" si="13"/>
        <v>MinCoa-07</v>
      </c>
      <c r="L35" s="15" t="str">
        <f t="shared" si="14"/>
        <v>Bituminous Coal Step - 07</v>
      </c>
      <c r="M35" s="15" t="s">
        <v>46</v>
      </c>
      <c r="N35" s="15" t="s">
        <v>47</v>
      </c>
      <c r="O35" s="15"/>
      <c r="P35" s="15"/>
      <c r="Q35" s="15"/>
      <c r="S35" t="str">
        <f t="shared" si="15"/>
        <v>MinCoa-07</v>
      </c>
      <c r="U35" t="str">
        <f t="shared" si="16"/>
        <v>COABIT</v>
      </c>
      <c r="V35">
        <f t="shared" si="10"/>
        <v>5.0000000000000044E-2</v>
      </c>
      <c r="W35" s="13">
        <f t="shared" si="10"/>
        <v>0.93330000000000002</v>
      </c>
      <c r="X35" s="13">
        <f t="shared" si="17"/>
        <v>5.0000000000000044E-2</v>
      </c>
      <c r="Y35" s="13"/>
    </row>
    <row r="36" spans="1:25" x14ac:dyDescent="0.25">
      <c r="A36" s="3" t="s">
        <v>19</v>
      </c>
      <c r="C36" s="9" t="str">
        <f t="shared" si="11"/>
        <v>MinCoa-08</v>
      </c>
      <c r="D36">
        <f t="shared" si="12"/>
        <v>5.0000000000000044E-2</v>
      </c>
      <c r="E36" s="1">
        <f t="shared" si="9"/>
        <v>0.95</v>
      </c>
      <c r="F36" s="1">
        <f t="shared" si="9"/>
        <v>0.96917191519967327</v>
      </c>
      <c r="G36" s="1">
        <f t="shared" si="9"/>
        <v>0.9887307381176873</v>
      </c>
      <c r="J36" s="15"/>
      <c r="K36" s="15" t="str">
        <f t="shared" si="13"/>
        <v>MinCoa-08</v>
      </c>
      <c r="L36" s="15" t="str">
        <f t="shared" si="14"/>
        <v>Bituminous Coal Step - 08</v>
      </c>
      <c r="M36" s="15" t="s">
        <v>46</v>
      </c>
      <c r="N36" s="15" t="s">
        <v>47</v>
      </c>
      <c r="O36" s="15"/>
      <c r="P36" s="15"/>
      <c r="Q36" s="15"/>
      <c r="S36" t="str">
        <f t="shared" si="15"/>
        <v>MinCoa-08</v>
      </c>
      <c r="U36" t="str">
        <f t="shared" si="16"/>
        <v>COABIT</v>
      </c>
      <c r="V36">
        <f t="shared" si="10"/>
        <v>5.0000000000000044E-2</v>
      </c>
      <c r="W36" s="13">
        <f t="shared" si="10"/>
        <v>0.95</v>
      </c>
      <c r="X36" s="13">
        <f t="shared" si="17"/>
        <v>5.0000000000000044E-2</v>
      </c>
      <c r="Y36" s="13"/>
    </row>
    <row r="37" spans="1:25" x14ac:dyDescent="0.25">
      <c r="A37" s="3" t="s">
        <v>20</v>
      </c>
      <c r="C37" s="9" t="str">
        <f t="shared" si="11"/>
        <v>MinCoa-09</v>
      </c>
      <c r="D37">
        <f t="shared" si="12"/>
        <v>5.0000000000000044E-2</v>
      </c>
      <c r="E37" s="1">
        <f t="shared" si="9"/>
        <v>0.9667</v>
      </c>
      <c r="F37" s="1">
        <f t="shared" si="9"/>
        <v>0.98620893728792025</v>
      </c>
      <c r="G37" s="1">
        <f t="shared" si="9"/>
        <v>1.0061115837245982</v>
      </c>
      <c r="J37" s="15"/>
      <c r="K37" s="15" t="str">
        <f t="shared" si="13"/>
        <v>MinCoa-09</v>
      </c>
      <c r="L37" s="15" t="str">
        <f t="shared" si="14"/>
        <v>Bituminous Coal Step - 09</v>
      </c>
      <c r="M37" s="15" t="s">
        <v>46</v>
      </c>
      <c r="N37" s="15" t="s">
        <v>47</v>
      </c>
      <c r="O37" s="15"/>
      <c r="P37" s="15"/>
      <c r="Q37" s="15"/>
      <c r="S37" t="str">
        <f t="shared" si="15"/>
        <v>MinCoa-09</v>
      </c>
      <c r="U37" t="str">
        <f t="shared" si="16"/>
        <v>COABIT</v>
      </c>
      <c r="V37">
        <f t="shared" si="10"/>
        <v>5.0000000000000044E-2</v>
      </c>
      <c r="W37" s="13">
        <f t="shared" si="10"/>
        <v>0.9667</v>
      </c>
      <c r="X37" s="13">
        <f t="shared" si="17"/>
        <v>5.0000000000000044E-2</v>
      </c>
      <c r="Y37" s="13"/>
    </row>
    <row r="38" spans="1:25" x14ac:dyDescent="0.25">
      <c r="A38" s="3" t="s">
        <v>21</v>
      </c>
      <c r="C38" s="9" t="str">
        <f t="shared" si="11"/>
        <v>MinCoa-10</v>
      </c>
      <c r="D38">
        <f t="shared" si="12"/>
        <v>5.0000000000000044E-2</v>
      </c>
      <c r="E38" s="1">
        <f t="shared" si="9"/>
        <v>0.98329999999999995</v>
      </c>
      <c r="F38" s="1">
        <f t="shared" si="9"/>
        <v>1.0031439412798302</v>
      </c>
      <c r="G38" s="1">
        <f t="shared" si="9"/>
        <v>1.0233883524117073</v>
      </c>
      <c r="J38" s="15"/>
      <c r="K38" s="15" t="str">
        <f t="shared" si="13"/>
        <v>MinCoa-10</v>
      </c>
      <c r="L38" s="15" t="str">
        <f t="shared" si="14"/>
        <v>Bituminous Coal Step - 10</v>
      </c>
      <c r="M38" s="15" t="s">
        <v>46</v>
      </c>
      <c r="N38" s="15" t="s">
        <v>47</v>
      </c>
      <c r="O38" s="15"/>
      <c r="P38" s="15"/>
      <c r="Q38" s="15"/>
      <c r="S38" t="str">
        <f t="shared" si="15"/>
        <v>MinCoa-10</v>
      </c>
      <c r="U38" t="str">
        <f t="shared" si="16"/>
        <v>COABIT</v>
      </c>
      <c r="V38">
        <f t="shared" si="10"/>
        <v>5.0000000000000044E-2</v>
      </c>
      <c r="W38" s="13">
        <f t="shared" si="10"/>
        <v>0.98329999999999995</v>
      </c>
      <c r="X38" s="13">
        <f t="shared" si="17"/>
        <v>5.0000000000000044E-2</v>
      </c>
      <c r="Y38" s="13"/>
    </row>
    <row r="39" spans="1:25" x14ac:dyDescent="0.25">
      <c r="A39" s="3" t="s">
        <v>22</v>
      </c>
      <c r="C39" s="9" t="str">
        <f t="shared" si="11"/>
        <v>MinCoa-11</v>
      </c>
      <c r="D39" s="10">
        <f t="shared" si="12"/>
        <v>5.0000000000000044E-2</v>
      </c>
      <c r="E39" s="11">
        <f t="shared" si="9"/>
        <v>1</v>
      </c>
      <c r="F39" s="11">
        <f t="shared" si="9"/>
        <v>1.0201809633680772</v>
      </c>
      <c r="G39" s="11">
        <f t="shared" si="9"/>
        <v>1.0407691980186182</v>
      </c>
      <c r="J39" s="15"/>
      <c r="K39" s="15" t="str">
        <f t="shared" si="13"/>
        <v>MinCoa-11</v>
      </c>
      <c r="L39" s="15" t="str">
        <f t="shared" si="14"/>
        <v>Bituminous Coal Step - 11</v>
      </c>
      <c r="M39" s="15" t="s">
        <v>46</v>
      </c>
      <c r="N39" s="15" t="s">
        <v>47</v>
      </c>
      <c r="O39" s="15"/>
      <c r="P39" s="15"/>
      <c r="Q39" s="15"/>
      <c r="S39" t="str">
        <f t="shared" si="15"/>
        <v>MinCoa-11</v>
      </c>
      <c r="U39" t="str">
        <f t="shared" si="16"/>
        <v>COABIT</v>
      </c>
      <c r="V39">
        <f t="shared" si="10"/>
        <v>5.0000000000000044E-2</v>
      </c>
      <c r="W39" s="13">
        <f t="shared" si="10"/>
        <v>1</v>
      </c>
      <c r="X39" s="13">
        <f t="shared" si="17"/>
        <v>5.0000000000000044E-2</v>
      </c>
      <c r="Y39" s="13"/>
    </row>
    <row r="40" spans="1:25" x14ac:dyDescent="0.25">
      <c r="A40" s="3" t="s">
        <v>23</v>
      </c>
      <c r="C40" s="9" t="str">
        <f t="shared" si="11"/>
        <v>MinCoa-12</v>
      </c>
      <c r="D40">
        <f t="shared" si="12"/>
        <v>0.10000000000000009</v>
      </c>
      <c r="E40" s="1">
        <f t="shared" si="9"/>
        <v>1.0049999999999999</v>
      </c>
      <c r="F40" s="1">
        <f t="shared" si="9"/>
        <v>1.0252818681849174</v>
      </c>
      <c r="G40" s="1">
        <f t="shared" si="9"/>
        <v>1.0459730440087112</v>
      </c>
      <c r="J40" s="15"/>
      <c r="K40" s="15" t="str">
        <f t="shared" si="13"/>
        <v>MinCoa-12</v>
      </c>
      <c r="L40" s="15" t="str">
        <f t="shared" si="14"/>
        <v>Bituminous Coal Step - 12</v>
      </c>
      <c r="M40" s="15" t="s">
        <v>46</v>
      </c>
      <c r="N40" s="15" t="s">
        <v>47</v>
      </c>
      <c r="O40" s="15"/>
      <c r="P40" s="15"/>
      <c r="Q40" s="15"/>
      <c r="S40" t="str">
        <f t="shared" si="15"/>
        <v>MinCoa-12</v>
      </c>
      <c r="U40" t="str">
        <f t="shared" si="16"/>
        <v>COABIT</v>
      </c>
      <c r="V40">
        <f t="shared" si="10"/>
        <v>0.10000000000000009</v>
      </c>
      <c r="W40" s="13">
        <f t="shared" si="10"/>
        <v>1.0049999999999999</v>
      </c>
      <c r="X40" s="13">
        <f t="shared" si="17"/>
        <v>0.10000000000000009</v>
      </c>
      <c r="Y40" s="13"/>
    </row>
    <row r="41" spans="1:25" x14ac:dyDescent="0.25">
      <c r="A41" s="3" t="s">
        <v>24</v>
      </c>
      <c r="C41" s="9" t="str">
        <f t="shared" si="11"/>
        <v>MinCoa-13</v>
      </c>
      <c r="D41">
        <f t="shared" si="12"/>
        <v>0.10000000000000009</v>
      </c>
      <c r="E41" s="1">
        <f t="shared" si="9"/>
        <v>1.0108999999999999</v>
      </c>
      <c r="F41" s="1">
        <f t="shared" si="9"/>
        <v>1.031300935868789</v>
      </c>
      <c r="G41" s="1">
        <f t="shared" si="9"/>
        <v>1.0521135822770211</v>
      </c>
      <c r="J41" s="15"/>
      <c r="K41" s="15" t="str">
        <f t="shared" si="13"/>
        <v>MinCoa-13</v>
      </c>
      <c r="L41" s="15" t="str">
        <f t="shared" si="14"/>
        <v>Bituminous Coal Step - 13</v>
      </c>
      <c r="M41" s="15" t="s">
        <v>46</v>
      </c>
      <c r="N41" s="15" t="s">
        <v>47</v>
      </c>
      <c r="O41" s="15"/>
      <c r="P41" s="15"/>
      <c r="Q41" s="15"/>
      <c r="S41" t="str">
        <f t="shared" si="15"/>
        <v>MinCoa-13</v>
      </c>
      <c r="U41" t="str">
        <f t="shared" si="16"/>
        <v>COABIT</v>
      </c>
      <c r="V41">
        <f t="shared" si="10"/>
        <v>0.10000000000000009</v>
      </c>
      <c r="W41" s="13">
        <f t="shared" si="10"/>
        <v>1.0108999999999999</v>
      </c>
      <c r="X41" s="13">
        <f t="shared" si="17"/>
        <v>0.10000000000000009</v>
      </c>
      <c r="Y41" s="13"/>
    </row>
    <row r="42" spans="1:25" x14ac:dyDescent="0.25">
      <c r="A42" s="3" t="s">
        <v>25</v>
      </c>
      <c r="C42" s="9" t="str">
        <f t="shared" si="11"/>
        <v>MinCoa-14</v>
      </c>
      <c r="D42">
        <f t="shared" si="12"/>
        <v>0.10000000000000009</v>
      </c>
      <c r="E42" s="1">
        <f t="shared" si="9"/>
        <v>1.018</v>
      </c>
      <c r="F42" s="1">
        <f t="shared" si="9"/>
        <v>1.0385442207087026</v>
      </c>
      <c r="G42" s="1">
        <f t="shared" si="9"/>
        <v>1.0595030435829533</v>
      </c>
      <c r="J42" s="15"/>
      <c r="K42" s="15" t="str">
        <f t="shared" si="13"/>
        <v>MinCoa-14</v>
      </c>
      <c r="L42" s="15" t="str">
        <f t="shared" si="14"/>
        <v>Bituminous Coal Step - 14</v>
      </c>
      <c r="M42" s="15" t="s">
        <v>46</v>
      </c>
      <c r="N42" s="15" t="s">
        <v>47</v>
      </c>
      <c r="O42" s="15"/>
      <c r="P42" s="15"/>
      <c r="Q42" s="15"/>
      <c r="S42" t="str">
        <f t="shared" si="15"/>
        <v>MinCoa-14</v>
      </c>
      <c r="U42" t="str">
        <f t="shared" si="16"/>
        <v>COABIT</v>
      </c>
      <c r="V42">
        <f t="shared" si="10"/>
        <v>0.10000000000000009</v>
      </c>
      <c r="W42" s="13">
        <f t="shared" si="10"/>
        <v>1.018</v>
      </c>
      <c r="X42" s="13">
        <f t="shared" si="17"/>
        <v>0.10000000000000009</v>
      </c>
      <c r="Y42" s="13"/>
    </row>
    <row r="43" spans="1:25" x14ac:dyDescent="0.25">
      <c r="A43" s="3" t="s">
        <v>26</v>
      </c>
      <c r="C43" s="9" t="str">
        <f t="shared" si="11"/>
        <v>MinCoa-15</v>
      </c>
      <c r="D43">
        <f t="shared" si="12"/>
        <v>0.10000000000000009</v>
      </c>
      <c r="E43" s="1">
        <f t="shared" si="9"/>
        <v>1.0266999999999999</v>
      </c>
      <c r="F43" s="1">
        <f t="shared" si="9"/>
        <v>1.0474197950900048</v>
      </c>
      <c r="G43" s="1">
        <f t="shared" si="9"/>
        <v>1.0685577356057152</v>
      </c>
      <c r="J43" s="15"/>
      <c r="K43" s="15" t="str">
        <f t="shared" si="13"/>
        <v>MinCoa-15</v>
      </c>
      <c r="L43" s="15" t="str">
        <f t="shared" si="14"/>
        <v>Bituminous Coal Step - 15</v>
      </c>
      <c r="M43" s="15" t="s">
        <v>46</v>
      </c>
      <c r="N43" s="15" t="s">
        <v>47</v>
      </c>
      <c r="O43" s="15"/>
      <c r="P43" s="15"/>
      <c r="Q43" s="15"/>
      <c r="S43" t="str">
        <f t="shared" si="15"/>
        <v>MinCoa-15</v>
      </c>
      <c r="U43" t="str">
        <f t="shared" si="16"/>
        <v>COABIT</v>
      </c>
      <c r="V43">
        <f t="shared" si="10"/>
        <v>0.10000000000000009</v>
      </c>
      <c r="W43" s="13">
        <f t="shared" si="10"/>
        <v>1.0266999999999999</v>
      </c>
      <c r="X43" s="13">
        <f t="shared" si="17"/>
        <v>0.10000000000000009</v>
      </c>
      <c r="Y43" s="13"/>
    </row>
    <row r="44" spans="1:25" x14ac:dyDescent="0.25">
      <c r="A44" s="3" t="s">
        <v>27</v>
      </c>
      <c r="C44" s="9" t="str">
        <f t="shared" si="11"/>
        <v>MinCoa-16</v>
      </c>
      <c r="D44">
        <f t="shared" si="12"/>
        <v>0.10000000000000009</v>
      </c>
      <c r="E44" s="1">
        <f t="shared" ref="E44:G49" si="18">T17</f>
        <v>1.0375000000000001</v>
      </c>
      <c r="F44" s="1">
        <f t="shared" si="18"/>
        <v>1.0584377494943802</v>
      </c>
      <c r="G44" s="1">
        <f t="shared" si="18"/>
        <v>1.0797980429443166</v>
      </c>
      <c r="J44" s="15"/>
      <c r="K44" s="15" t="str">
        <f t="shared" si="13"/>
        <v>MinCoa-16</v>
      </c>
      <c r="L44" s="15" t="str">
        <f t="shared" si="14"/>
        <v>Bituminous Coal Step - 16</v>
      </c>
      <c r="M44" s="15" t="s">
        <v>46</v>
      </c>
      <c r="N44" s="15" t="s">
        <v>47</v>
      </c>
      <c r="O44" s="15"/>
      <c r="P44" s="15"/>
      <c r="Q44" s="15"/>
      <c r="S44" t="str">
        <f t="shared" si="15"/>
        <v>MinCoa-16</v>
      </c>
      <c r="U44" t="str">
        <f t="shared" si="16"/>
        <v>COABIT</v>
      </c>
      <c r="V44">
        <f t="shared" si="10"/>
        <v>0.10000000000000009</v>
      </c>
      <c r="W44" s="13">
        <f t="shared" si="10"/>
        <v>1.0375000000000001</v>
      </c>
      <c r="X44" s="13">
        <f t="shared" si="17"/>
        <v>0.10000000000000009</v>
      </c>
      <c r="Y44" s="13"/>
    </row>
    <row r="45" spans="1:25" x14ac:dyDescent="0.25">
      <c r="A45" s="3" t="s">
        <v>28</v>
      </c>
      <c r="C45" s="9" t="str">
        <f t="shared" si="11"/>
        <v>MinCoa-17</v>
      </c>
      <c r="D45">
        <f t="shared" si="12"/>
        <v>0.10000000000000009</v>
      </c>
      <c r="E45" s="1">
        <f t="shared" si="18"/>
        <v>1.0513999999999999</v>
      </c>
      <c r="F45" s="1">
        <f t="shared" si="18"/>
        <v>1.0726182648851963</v>
      </c>
      <c r="G45" s="1">
        <f t="shared" si="18"/>
        <v>1.0942647347967751</v>
      </c>
      <c r="J45" s="15"/>
      <c r="K45" s="15" t="str">
        <f t="shared" si="13"/>
        <v>MinCoa-17</v>
      </c>
      <c r="L45" s="15" t="str">
        <f t="shared" si="14"/>
        <v>Bituminous Coal Step - 17</v>
      </c>
      <c r="M45" s="15" t="s">
        <v>46</v>
      </c>
      <c r="N45" s="15" t="s">
        <v>47</v>
      </c>
      <c r="O45" s="15"/>
      <c r="P45" s="15"/>
      <c r="Q45" s="15"/>
      <c r="S45" t="str">
        <f t="shared" si="15"/>
        <v>MinCoa-17</v>
      </c>
      <c r="U45" t="str">
        <f t="shared" si="16"/>
        <v>COABIT</v>
      </c>
      <c r="V45">
        <f t="shared" si="10"/>
        <v>0.10000000000000009</v>
      </c>
      <c r="W45" s="13">
        <f t="shared" si="10"/>
        <v>1.0513999999999999</v>
      </c>
      <c r="X45" s="13">
        <f t="shared" si="17"/>
        <v>0.10000000000000009</v>
      </c>
      <c r="Y45" s="13"/>
    </row>
    <row r="46" spans="1:25" x14ac:dyDescent="0.25">
      <c r="A46" s="3" t="s">
        <v>29</v>
      </c>
      <c r="C46" s="9" t="str">
        <f t="shared" si="11"/>
        <v>MinCoa-18</v>
      </c>
      <c r="D46">
        <f t="shared" si="12"/>
        <v>0.10000000000000009</v>
      </c>
      <c r="E46" s="1">
        <f t="shared" si="18"/>
        <v>1.07</v>
      </c>
      <c r="F46" s="1">
        <f t="shared" si="18"/>
        <v>1.0915936308038428</v>
      </c>
      <c r="G46" s="1">
        <f t="shared" si="18"/>
        <v>1.1136230418799216</v>
      </c>
      <c r="J46" s="15"/>
      <c r="K46" s="15" t="str">
        <f t="shared" si="13"/>
        <v>MinCoa-18</v>
      </c>
      <c r="L46" s="15" t="str">
        <f t="shared" si="14"/>
        <v>Bituminous Coal Step - 18</v>
      </c>
      <c r="M46" s="15" t="s">
        <v>46</v>
      </c>
      <c r="N46" s="15" t="s">
        <v>47</v>
      </c>
      <c r="O46" s="15"/>
      <c r="P46" s="15"/>
      <c r="Q46" s="15"/>
      <c r="S46" t="str">
        <f t="shared" si="15"/>
        <v>MinCoa-18</v>
      </c>
      <c r="U46" t="str">
        <f t="shared" si="16"/>
        <v>COABIT</v>
      </c>
      <c r="V46">
        <f t="shared" si="10"/>
        <v>0.10000000000000009</v>
      </c>
      <c r="W46" s="13">
        <f t="shared" si="10"/>
        <v>1.07</v>
      </c>
      <c r="X46" s="13">
        <f t="shared" si="17"/>
        <v>0.10000000000000009</v>
      </c>
      <c r="Y46" s="13"/>
    </row>
    <row r="47" spans="1:25" x14ac:dyDescent="0.25">
      <c r="A47" s="3" t="s">
        <v>30</v>
      </c>
      <c r="C47" s="9" t="str">
        <f t="shared" si="11"/>
        <v>MinCoa-19</v>
      </c>
      <c r="D47">
        <f t="shared" si="12"/>
        <v>0.10000000000000009</v>
      </c>
      <c r="E47" s="1">
        <f t="shared" si="18"/>
        <v>1.0960000000000001</v>
      </c>
      <c r="F47" s="1">
        <f t="shared" si="18"/>
        <v>1.1181183358514126</v>
      </c>
      <c r="G47" s="1">
        <f t="shared" si="18"/>
        <v>1.1406830410284057</v>
      </c>
      <c r="J47" s="15"/>
      <c r="K47" s="15" t="str">
        <f t="shared" si="13"/>
        <v>MinCoa-19</v>
      </c>
      <c r="L47" s="15" t="str">
        <f t="shared" si="14"/>
        <v>Bituminous Coal Step - 19</v>
      </c>
      <c r="M47" s="15" t="s">
        <v>46</v>
      </c>
      <c r="N47" s="15" t="s">
        <v>47</v>
      </c>
      <c r="O47" s="15"/>
      <c r="P47" s="15"/>
      <c r="Q47" s="15"/>
      <c r="S47" t="str">
        <f t="shared" si="15"/>
        <v>MinCoa-19</v>
      </c>
      <c r="U47" t="str">
        <f t="shared" si="16"/>
        <v>COABIT</v>
      </c>
      <c r="V47">
        <f t="shared" si="10"/>
        <v>0.10000000000000009</v>
      </c>
      <c r="W47" s="13">
        <f t="shared" si="10"/>
        <v>1.0960000000000001</v>
      </c>
      <c r="X47" s="13">
        <f t="shared" si="17"/>
        <v>0.10000000000000009</v>
      </c>
      <c r="Y47" s="13"/>
    </row>
    <row r="48" spans="1:25" x14ac:dyDescent="0.25">
      <c r="A48" s="3" t="s">
        <v>31</v>
      </c>
      <c r="C48" s="9" t="str">
        <f t="shared" si="11"/>
        <v>MinCoa-20</v>
      </c>
      <c r="D48">
        <f t="shared" si="12"/>
        <v>0.10000000000000009</v>
      </c>
      <c r="E48" s="1">
        <f t="shared" si="18"/>
        <v>1.135</v>
      </c>
      <c r="F48" s="1">
        <f t="shared" si="18"/>
        <v>1.1579053934227677</v>
      </c>
      <c r="G48" s="1">
        <f t="shared" si="18"/>
        <v>1.1812730397511317</v>
      </c>
      <c r="J48" s="15"/>
      <c r="K48" s="15" t="str">
        <f t="shared" si="13"/>
        <v>MinCoa-20</v>
      </c>
      <c r="L48" s="15" t="str">
        <f t="shared" si="14"/>
        <v>Bituminous Coal Step - 20</v>
      </c>
      <c r="M48" s="15" t="s">
        <v>46</v>
      </c>
      <c r="N48" s="15" t="s">
        <v>47</v>
      </c>
      <c r="O48" s="15"/>
      <c r="P48" s="15"/>
      <c r="Q48" s="15"/>
      <c r="S48" t="str">
        <f t="shared" si="15"/>
        <v>MinCoa-20</v>
      </c>
      <c r="U48" t="str">
        <f t="shared" si="16"/>
        <v>COABIT</v>
      </c>
      <c r="V48">
        <f t="shared" si="10"/>
        <v>0.10000000000000009</v>
      </c>
      <c r="W48" s="13">
        <f t="shared" si="10"/>
        <v>1.135</v>
      </c>
      <c r="X48" s="13">
        <f t="shared" si="17"/>
        <v>0.10000000000000009</v>
      </c>
      <c r="Y48" s="13"/>
    </row>
    <row r="49" spans="1:25" x14ac:dyDescent="0.25">
      <c r="A49" s="3" t="s">
        <v>32</v>
      </c>
      <c r="C49" s="9" t="str">
        <f t="shared" si="11"/>
        <v>MinCoa-21</v>
      </c>
      <c r="D49">
        <f t="shared" si="12"/>
        <v>0.10000000000000009</v>
      </c>
      <c r="E49" s="1">
        <f t="shared" si="18"/>
        <v>1.2</v>
      </c>
      <c r="F49" s="1">
        <f t="shared" si="18"/>
        <v>1.2242171560416926</v>
      </c>
      <c r="G49" s="1">
        <f t="shared" si="18"/>
        <v>1.2489230376223419</v>
      </c>
      <c r="J49" s="15"/>
      <c r="K49" s="15" t="str">
        <f t="shared" si="13"/>
        <v>MinCoa-21</v>
      </c>
      <c r="L49" s="15" t="str">
        <f t="shared" si="14"/>
        <v>Bituminous Coal Step - 21</v>
      </c>
      <c r="M49" s="15" t="s">
        <v>46</v>
      </c>
      <c r="N49" s="15" t="s">
        <v>47</v>
      </c>
      <c r="O49" s="15"/>
      <c r="P49" s="15"/>
      <c r="Q49" s="15"/>
      <c r="S49" t="str">
        <f t="shared" si="15"/>
        <v>MinCoa-21</v>
      </c>
      <c r="U49" t="str">
        <f t="shared" si="16"/>
        <v>COABIT</v>
      </c>
      <c r="V49">
        <f t="shared" si="10"/>
        <v>0.10000000000000009</v>
      </c>
      <c r="W49" s="13">
        <f t="shared" si="10"/>
        <v>1.2</v>
      </c>
      <c r="X49" s="13"/>
      <c r="Y49" s="13"/>
    </row>
  </sheetData>
  <mergeCells count="3">
    <mergeCell ref="B7:B9"/>
    <mergeCell ref="B10:B12"/>
    <mergeCell ref="E27:G27"/>
  </mergeCells>
  <pageMargins left="0.7" right="0.7" top="0.75" bottom="0.75" header="0.3" footer="0.3"/>
  <pageSetup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9"/>
  <sheetViews>
    <sheetView workbookViewId="0">
      <selection activeCell="D10" sqref="D10"/>
    </sheetView>
  </sheetViews>
  <sheetFormatPr defaultColWidth="8.85546875" defaultRowHeight="15" x14ac:dyDescent="0.25"/>
  <cols>
    <col min="1" max="1" width="20.7109375" bestFit="1" customWidth="1"/>
    <col min="2" max="2" width="3.42578125" bestFit="1" customWidth="1"/>
    <col min="3" max="3" width="16.28515625" bestFit="1" customWidth="1"/>
    <col min="4" max="4" width="9.28515625" bestFit="1" customWidth="1"/>
    <col min="5" max="5" width="6.85546875" bestFit="1" customWidth="1"/>
    <col min="6" max="6" width="8.85546875" bestFit="1" customWidth="1"/>
    <col min="7" max="7" width="9.85546875" bestFit="1" customWidth="1"/>
    <col min="8" max="10" width="8.85546875" customWidth="1"/>
    <col min="11" max="11" width="10.7109375" bestFit="1" customWidth="1"/>
  </cols>
  <sheetData>
    <row r="1" spans="1:22" x14ac:dyDescent="0.25">
      <c r="A1" s="12" t="s">
        <v>92</v>
      </c>
      <c r="T1" s="18">
        <f>'Gas-Min'!$T$1</f>
        <v>2010</v>
      </c>
      <c r="U1" s="18">
        <f>'Gas-Min'!$U$1</f>
        <v>2020</v>
      </c>
      <c r="V1" s="18">
        <f>'Gas-Min'!$V$1</f>
        <v>2030</v>
      </c>
    </row>
    <row r="2" spans="1:22" x14ac:dyDescent="0.25">
      <c r="A2" s="12" t="s">
        <v>93</v>
      </c>
      <c r="C2" s="7" t="s">
        <v>94</v>
      </c>
      <c r="D2" t="s">
        <v>8</v>
      </c>
      <c r="E2" t="s">
        <v>9</v>
      </c>
      <c r="R2">
        <f t="shared" ref="R2:R10" si="0">R3+($E$10-$D$10)/($D$12-1)</f>
        <v>0.50000000000000011</v>
      </c>
      <c r="S2">
        <f t="shared" ref="S2:S11" si="1">S3-$D$11</f>
        <v>0.49999999999999961</v>
      </c>
      <c r="T2" s="13">
        <f t="shared" ref="T2:T11" si="2">ROUND((S2-$S$12)/$S$12/R2*$T$12+$T$12,4)</f>
        <v>0</v>
      </c>
      <c r="U2" s="13">
        <f t="shared" ref="U2:U22" si="3">T2*(1+$D$14)^5</f>
        <v>0</v>
      </c>
      <c r="V2" s="13">
        <f t="shared" ref="V2:V22" si="4">T2*(1+$D$14)^10</f>
        <v>0</v>
      </c>
    </row>
    <row r="3" spans="1:22" x14ac:dyDescent="0.25">
      <c r="D3" s="4">
        <v>1</v>
      </c>
      <c r="E3" s="4">
        <v>1</v>
      </c>
      <c r="R3">
        <f t="shared" si="0"/>
        <v>0.48888888888888904</v>
      </c>
      <c r="S3">
        <f t="shared" si="1"/>
        <v>0.5499999999999996</v>
      </c>
      <c r="T3" s="13">
        <f t="shared" si="2"/>
        <v>7.9500000000000001E-2</v>
      </c>
      <c r="U3" s="13">
        <f t="shared" si="3"/>
        <v>8.5307096321688716E-2</v>
      </c>
      <c r="V3" s="13">
        <f t="shared" si="4"/>
        <v>9.1538373369029882E-2</v>
      </c>
    </row>
    <row r="4" spans="1:22" x14ac:dyDescent="0.25">
      <c r="R4">
        <f t="shared" si="0"/>
        <v>0.47777777777777791</v>
      </c>
      <c r="S4">
        <f t="shared" si="1"/>
        <v>0.59999999999999964</v>
      </c>
      <c r="T4" s="13">
        <f t="shared" si="2"/>
        <v>0.1628</v>
      </c>
      <c r="U4" s="13">
        <f t="shared" si="3"/>
        <v>0.17469176454303048</v>
      </c>
      <c r="V4" s="13">
        <f t="shared" si="4"/>
        <v>0.18745216584249139</v>
      </c>
    </row>
    <row r="5" spans="1:22" x14ac:dyDescent="0.25">
      <c r="R5">
        <f t="shared" si="0"/>
        <v>0.46666666666666679</v>
      </c>
      <c r="S5">
        <f t="shared" si="1"/>
        <v>0.64999999999999969</v>
      </c>
      <c r="T5" s="13">
        <f t="shared" si="2"/>
        <v>0.25</v>
      </c>
      <c r="U5" s="13">
        <f t="shared" si="3"/>
        <v>0.26826130918770036</v>
      </c>
      <c r="V5" s="13">
        <f t="shared" si="4"/>
        <v>0.28785652002839585</v>
      </c>
    </row>
    <row r="6" spans="1:22" x14ac:dyDescent="0.25">
      <c r="D6" s="2" t="s">
        <v>10</v>
      </c>
      <c r="E6" s="2" t="s">
        <v>11</v>
      </c>
      <c r="R6">
        <f t="shared" si="0"/>
        <v>0.45555555555555566</v>
      </c>
      <c r="S6">
        <f t="shared" si="1"/>
        <v>0.69999999999999973</v>
      </c>
      <c r="T6" s="13">
        <f t="shared" si="2"/>
        <v>0.34150000000000003</v>
      </c>
      <c r="U6" s="13">
        <f t="shared" si="3"/>
        <v>0.3664449483503987</v>
      </c>
      <c r="V6" s="13">
        <f t="shared" si="4"/>
        <v>0.39321200635878878</v>
      </c>
    </row>
    <row r="7" spans="1:22" x14ac:dyDescent="0.25">
      <c r="B7" s="25" t="s">
        <v>0</v>
      </c>
      <c r="C7" t="s">
        <v>2</v>
      </c>
      <c r="D7" s="4">
        <v>20</v>
      </c>
      <c r="E7" s="4">
        <v>20</v>
      </c>
      <c r="R7">
        <f t="shared" si="0"/>
        <v>0.44444444444444453</v>
      </c>
      <c r="S7">
        <f t="shared" si="1"/>
        <v>0.74999999999999978</v>
      </c>
      <c r="T7" s="13">
        <f t="shared" si="2"/>
        <v>0.4375</v>
      </c>
      <c r="U7" s="13">
        <f t="shared" si="3"/>
        <v>0.46945729107847561</v>
      </c>
      <c r="V7" s="13">
        <f t="shared" si="4"/>
        <v>0.50374891004969269</v>
      </c>
    </row>
    <row r="8" spans="1:22" x14ac:dyDescent="0.25">
      <c r="B8" s="25"/>
      <c r="C8" t="s">
        <v>6</v>
      </c>
      <c r="D8" s="4">
        <v>1</v>
      </c>
      <c r="R8">
        <f t="shared" si="0"/>
        <v>0.4333333333333334</v>
      </c>
      <c r="S8">
        <f t="shared" si="1"/>
        <v>0.79999999999999982</v>
      </c>
      <c r="T8" s="13">
        <f t="shared" si="2"/>
        <v>0.53849999999999998</v>
      </c>
      <c r="U8" s="13">
        <f t="shared" si="3"/>
        <v>0.57783485999030659</v>
      </c>
      <c r="V8" s="13">
        <f t="shared" si="4"/>
        <v>0.62004294414116468</v>
      </c>
    </row>
    <row r="9" spans="1:22" x14ac:dyDescent="0.25">
      <c r="B9" s="25"/>
      <c r="C9" t="s">
        <v>1</v>
      </c>
      <c r="D9" s="4">
        <v>10</v>
      </c>
      <c r="R9">
        <f t="shared" si="0"/>
        <v>0.42222222222222228</v>
      </c>
      <c r="S9">
        <f t="shared" si="1"/>
        <v>0.84999999999999987</v>
      </c>
      <c r="T9" s="13">
        <f t="shared" si="2"/>
        <v>0.64470000000000005</v>
      </c>
      <c r="U9" s="13">
        <f t="shared" si="3"/>
        <v>0.69179226413324169</v>
      </c>
      <c r="V9" s="13">
        <f t="shared" si="4"/>
        <v>0.74232439384922722</v>
      </c>
    </row>
    <row r="10" spans="1:22" x14ac:dyDescent="0.25">
      <c r="B10" s="25" t="s">
        <v>3</v>
      </c>
      <c r="C10" t="s">
        <v>2</v>
      </c>
      <c r="D10" s="4">
        <v>0.4</v>
      </c>
      <c r="E10" s="4">
        <v>0.5</v>
      </c>
      <c r="R10">
        <f t="shared" si="0"/>
        <v>0.41111111111111115</v>
      </c>
      <c r="S10">
        <f t="shared" si="1"/>
        <v>0.89999999999999991</v>
      </c>
      <c r="T10" s="13">
        <f t="shared" si="2"/>
        <v>0.75680000000000003</v>
      </c>
      <c r="U10" s="13">
        <f t="shared" si="3"/>
        <v>0.81208063517300655</v>
      </c>
      <c r="V10" s="13">
        <f t="shared" si="4"/>
        <v>0.87139925742995994</v>
      </c>
    </row>
    <row r="11" spans="1:22" x14ac:dyDescent="0.25">
      <c r="B11" s="25"/>
      <c r="C11" t="s">
        <v>6</v>
      </c>
      <c r="D11" s="4">
        <v>0.05</v>
      </c>
      <c r="R11">
        <f>D10</f>
        <v>0.4</v>
      </c>
      <c r="S11">
        <f t="shared" si="1"/>
        <v>0.95</v>
      </c>
      <c r="T11" s="13">
        <f t="shared" si="2"/>
        <v>0.875</v>
      </c>
      <c r="U11" s="13">
        <f t="shared" si="3"/>
        <v>0.93891458215695123</v>
      </c>
      <c r="V11" s="13">
        <f t="shared" si="4"/>
        <v>1.0074978200993854</v>
      </c>
    </row>
    <row r="12" spans="1:22" x14ac:dyDescent="0.25">
      <c r="B12" s="25"/>
      <c r="C12" t="s">
        <v>1</v>
      </c>
      <c r="D12" s="4">
        <v>10</v>
      </c>
      <c r="S12">
        <f>E3</f>
        <v>1</v>
      </c>
      <c r="T12" s="13">
        <f>D3</f>
        <v>1</v>
      </c>
      <c r="U12" s="13">
        <f t="shared" si="3"/>
        <v>1.0730452367508014</v>
      </c>
      <c r="V12" s="13">
        <f t="shared" si="4"/>
        <v>1.1514260801135834</v>
      </c>
    </row>
    <row r="13" spans="1:22" x14ac:dyDescent="0.25">
      <c r="R13">
        <f>D7</f>
        <v>20</v>
      </c>
      <c r="S13">
        <f t="shared" ref="S13:S22" si="5">S12+$D$8</f>
        <v>2</v>
      </c>
      <c r="T13" s="13">
        <f t="shared" ref="T13:T22" si="6">ROUND((S13-$S$12)/$S$12/R13*$T$12+$T$12,4)</f>
        <v>1.05</v>
      </c>
      <c r="U13" s="13">
        <f t="shared" si="3"/>
        <v>1.1266974985883416</v>
      </c>
      <c r="V13" s="13">
        <f t="shared" si="4"/>
        <v>1.2089973841192625</v>
      </c>
    </row>
    <row r="14" spans="1:22" x14ac:dyDescent="0.25">
      <c r="C14" t="s">
        <v>7</v>
      </c>
      <c r="D14" s="5">
        <v>1.4199999999999999E-2</v>
      </c>
      <c r="R14">
        <f t="shared" ref="R14:R22" si="7">R13+($E$7-$D$7)/($D$9-1)</f>
        <v>20</v>
      </c>
      <c r="S14">
        <f t="shared" si="5"/>
        <v>3</v>
      </c>
      <c r="T14" s="13">
        <f t="shared" si="6"/>
        <v>1.1000000000000001</v>
      </c>
      <c r="U14" s="13">
        <f t="shared" si="3"/>
        <v>1.1803497604258817</v>
      </c>
      <c r="V14" s="13">
        <f t="shared" si="4"/>
        <v>1.2665686881249418</v>
      </c>
    </row>
    <row r="15" spans="1:22" x14ac:dyDescent="0.25">
      <c r="R15">
        <f t="shared" si="7"/>
        <v>20</v>
      </c>
      <c r="S15">
        <f t="shared" si="5"/>
        <v>4</v>
      </c>
      <c r="T15" s="13">
        <f t="shared" si="6"/>
        <v>1.1499999999999999</v>
      </c>
      <c r="U15" s="13">
        <f t="shared" si="3"/>
        <v>1.2340020222634216</v>
      </c>
      <c r="V15" s="13">
        <f t="shared" si="4"/>
        <v>1.3241399921306207</v>
      </c>
    </row>
    <row r="16" spans="1:22" x14ac:dyDescent="0.25">
      <c r="R16">
        <f t="shared" si="7"/>
        <v>20</v>
      </c>
      <c r="S16">
        <f t="shared" si="5"/>
        <v>5</v>
      </c>
      <c r="T16" s="13">
        <f t="shared" si="6"/>
        <v>1.2</v>
      </c>
      <c r="U16" s="13">
        <f t="shared" si="3"/>
        <v>1.2876542841009617</v>
      </c>
      <c r="V16" s="13">
        <f t="shared" si="4"/>
        <v>1.3817112961363001</v>
      </c>
    </row>
    <row r="17" spans="1:25" x14ac:dyDescent="0.25">
      <c r="R17">
        <f t="shared" si="7"/>
        <v>20</v>
      </c>
      <c r="S17">
        <f t="shared" si="5"/>
        <v>6</v>
      </c>
      <c r="T17" s="13">
        <f t="shared" si="6"/>
        <v>1.25</v>
      </c>
      <c r="U17" s="13">
        <f t="shared" si="3"/>
        <v>1.3413065459385018</v>
      </c>
      <c r="V17" s="13">
        <f t="shared" si="4"/>
        <v>1.4392826001419792</v>
      </c>
    </row>
    <row r="18" spans="1:25" x14ac:dyDescent="0.25">
      <c r="R18">
        <f t="shared" si="7"/>
        <v>20</v>
      </c>
      <c r="S18">
        <f t="shared" si="5"/>
        <v>7</v>
      </c>
      <c r="T18" s="13">
        <f t="shared" si="6"/>
        <v>1.3</v>
      </c>
      <c r="U18" s="13">
        <f t="shared" si="3"/>
        <v>1.394958807776042</v>
      </c>
      <c r="V18" s="13">
        <f t="shared" si="4"/>
        <v>1.4968539041476585</v>
      </c>
    </row>
    <row r="19" spans="1:25" x14ac:dyDescent="0.25">
      <c r="R19">
        <f t="shared" si="7"/>
        <v>20</v>
      </c>
      <c r="S19">
        <f t="shared" si="5"/>
        <v>8</v>
      </c>
      <c r="T19" s="13">
        <f t="shared" si="6"/>
        <v>1.35</v>
      </c>
      <c r="U19" s="13">
        <f t="shared" si="3"/>
        <v>1.4486110696135821</v>
      </c>
      <c r="V19" s="13">
        <f t="shared" si="4"/>
        <v>1.5544252081533376</v>
      </c>
    </row>
    <row r="20" spans="1:25" x14ac:dyDescent="0.25">
      <c r="R20">
        <f t="shared" si="7"/>
        <v>20</v>
      </c>
      <c r="S20">
        <f t="shared" si="5"/>
        <v>9</v>
      </c>
      <c r="T20" s="13">
        <f t="shared" si="6"/>
        <v>1.4</v>
      </c>
      <c r="U20" s="13">
        <f t="shared" si="3"/>
        <v>1.502263331451122</v>
      </c>
      <c r="V20" s="13">
        <f t="shared" si="4"/>
        <v>1.6119965121590167</v>
      </c>
    </row>
    <row r="21" spans="1:25" x14ac:dyDescent="0.25">
      <c r="R21">
        <f t="shared" si="7"/>
        <v>20</v>
      </c>
      <c r="S21">
        <f t="shared" si="5"/>
        <v>10</v>
      </c>
      <c r="T21" s="13">
        <f t="shared" si="6"/>
        <v>1.45</v>
      </c>
      <c r="U21" s="13">
        <f t="shared" si="3"/>
        <v>1.5559155932886621</v>
      </c>
      <c r="V21" s="13">
        <f t="shared" si="4"/>
        <v>1.6695678161646959</v>
      </c>
    </row>
    <row r="22" spans="1:25" x14ac:dyDescent="0.25">
      <c r="R22">
        <f t="shared" si="7"/>
        <v>20</v>
      </c>
      <c r="S22">
        <f t="shared" si="5"/>
        <v>11</v>
      </c>
      <c r="T22" s="13">
        <f t="shared" si="6"/>
        <v>1.5</v>
      </c>
      <c r="U22" s="13">
        <f t="shared" si="3"/>
        <v>1.609567855126202</v>
      </c>
      <c r="V22" s="13">
        <f t="shared" si="4"/>
        <v>1.7271391201703752</v>
      </c>
    </row>
    <row r="27" spans="1:25" x14ac:dyDescent="0.25">
      <c r="E27" s="24" t="s">
        <v>5</v>
      </c>
      <c r="F27" s="24"/>
      <c r="G27" s="24"/>
      <c r="J27" s="15" t="s">
        <v>34</v>
      </c>
      <c r="K27" s="15"/>
      <c r="L27" s="15"/>
      <c r="M27" s="15"/>
      <c r="N27" s="15"/>
      <c r="O27" s="15"/>
      <c r="P27" s="15"/>
      <c r="Q27" s="15"/>
      <c r="U27" s="18" t="s">
        <v>97</v>
      </c>
    </row>
    <row r="28" spans="1:25" x14ac:dyDescent="0.25">
      <c r="D28" s="8" t="s">
        <v>4</v>
      </c>
      <c r="E28" s="6">
        <f t="shared" ref="E28:G43" si="8">T1</f>
        <v>2010</v>
      </c>
      <c r="F28" s="6">
        <f t="shared" si="8"/>
        <v>2020</v>
      </c>
      <c r="G28" s="6">
        <f t="shared" si="8"/>
        <v>2030</v>
      </c>
      <c r="J28" s="15" t="s">
        <v>35</v>
      </c>
      <c r="K28" s="15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5" t="s">
        <v>41</v>
      </c>
      <c r="Q28" s="15" t="s">
        <v>42</v>
      </c>
      <c r="S28" t="s">
        <v>36</v>
      </c>
      <c r="T28" t="s">
        <v>43</v>
      </c>
      <c r="U28" t="s">
        <v>44</v>
      </c>
      <c r="V28" t="s">
        <v>4</v>
      </c>
      <c r="W28">
        <f>E28</f>
        <v>2010</v>
      </c>
      <c r="X28" t="str">
        <f>V28&amp;"~2050"</f>
        <v>ACT_BND~2050</v>
      </c>
    </row>
    <row r="29" spans="1:25" x14ac:dyDescent="0.25">
      <c r="A29" s="3" t="s">
        <v>12</v>
      </c>
      <c r="C29" s="9" t="str">
        <f>$C$2&amp;"-"&amp;A29</f>
        <v>MinDst-01</v>
      </c>
      <c r="D29">
        <f>S2</f>
        <v>0.49999999999999961</v>
      </c>
      <c r="E29" s="1">
        <f t="shared" si="8"/>
        <v>0</v>
      </c>
      <c r="F29" s="1">
        <f t="shared" si="8"/>
        <v>0</v>
      </c>
      <c r="G29" s="1">
        <f t="shared" si="8"/>
        <v>0</v>
      </c>
      <c r="J29" s="15" t="s">
        <v>45</v>
      </c>
      <c r="K29" s="15" t="str">
        <f>C29</f>
        <v>MinDst-01</v>
      </c>
      <c r="L29" s="15" t="str">
        <f>$A$2&amp;" Step - "&amp;A29</f>
        <v>Dst Step - 01</v>
      </c>
      <c r="M29" s="15" t="s">
        <v>46</v>
      </c>
      <c r="N29" s="15" t="s">
        <v>47</v>
      </c>
      <c r="O29" s="15"/>
      <c r="P29" s="15"/>
      <c r="Q29" s="15"/>
      <c r="S29" t="str">
        <f>K29</f>
        <v>MinDst-01</v>
      </c>
      <c r="U29" t="str">
        <f>$A$1</f>
        <v>OILDST</v>
      </c>
      <c r="V29">
        <f t="shared" ref="V29:V49" si="9">D29</f>
        <v>0.49999999999999961</v>
      </c>
      <c r="W29" s="13">
        <f t="shared" ref="W29:W44" si="10">E29</f>
        <v>0</v>
      </c>
      <c r="X29" s="13">
        <f>V29</f>
        <v>0.49999999999999961</v>
      </c>
      <c r="Y29" s="13"/>
    </row>
    <row r="30" spans="1:25" x14ac:dyDescent="0.25">
      <c r="A30" s="3" t="s">
        <v>13</v>
      </c>
      <c r="C30" s="9" t="str">
        <f t="shared" ref="C30:C49" si="11">$C$2&amp;"-"&amp;A30</f>
        <v>MinDst-02</v>
      </c>
      <c r="D30">
        <f t="shared" ref="D30:D49" si="12">S3-S2</f>
        <v>4.9999999999999989E-2</v>
      </c>
      <c r="E30" s="1">
        <f t="shared" si="8"/>
        <v>7.9500000000000001E-2</v>
      </c>
      <c r="F30" s="1">
        <f t="shared" si="8"/>
        <v>8.5307096321688716E-2</v>
      </c>
      <c r="G30" s="1">
        <f t="shared" si="8"/>
        <v>9.1538373369029882E-2</v>
      </c>
      <c r="J30" s="15"/>
      <c r="K30" s="15" t="str">
        <f t="shared" ref="K30:K49" si="13">C30</f>
        <v>MinDst-02</v>
      </c>
      <c r="L30" s="15" t="str">
        <f t="shared" ref="L30:L49" si="14">$A$2&amp;" Step - "&amp;A30</f>
        <v>Dst Step - 02</v>
      </c>
      <c r="M30" s="15" t="s">
        <v>46</v>
      </c>
      <c r="N30" s="15" t="s">
        <v>47</v>
      </c>
      <c r="O30" s="15"/>
      <c r="P30" s="15"/>
      <c r="Q30" s="15"/>
      <c r="S30" t="str">
        <f t="shared" ref="S30:S49" si="15">K30</f>
        <v>MinDst-02</v>
      </c>
      <c r="U30" t="str">
        <f t="shared" ref="U30:U49" si="16">$A$1</f>
        <v>OILDST</v>
      </c>
      <c r="V30">
        <f t="shared" si="9"/>
        <v>4.9999999999999989E-2</v>
      </c>
      <c r="W30" s="13">
        <f t="shared" si="10"/>
        <v>7.9500000000000001E-2</v>
      </c>
      <c r="X30" s="13">
        <f t="shared" ref="X30:X48" si="17">V30</f>
        <v>4.9999999999999989E-2</v>
      </c>
      <c r="Y30" s="13"/>
    </row>
    <row r="31" spans="1:25" x14ac:dyDescent="0.25">
      <c r="A31" s="3" t="s">
        <v>14</v>
      </c>
      <c r="C31" s="9" t="str">
        <f t="shared" si="11"/>
        <v>MinDst-03</v>
      </c>
      <c r="D31">
        <f t="shared" si="12"/>
        <v>5.0000000000000044E-2</v>
      </c>
      <c r="E31" s="1">
        <f t="shared" si="8"/>
        <v>0.1628</v>
      </c>
      <c r="F31" s="1">
        <f t="shared" si="8"/>
        <v>0.17469176454303048</v>
      </c>
      <c r="G31" s="1">
        <f t="shared" si="8"/>
        <v>0.18745216584249139</v>
      </c>
      <c r="J31" s="15"/>
      <c r="K31" s="15" t="str">
        <f t="shared" si="13"/>
        <v>MinDst-03</v>
      </c>
      <c r="L31" s="15" t="str">
        <f t="shared" si="14"/>
        <v>Dst Step - 03</v>
      </c>
      <c r="M31" s="15" t="s">
        <v>46</v>
      </c>
      <c r="N31" s="15" t="s">
        <v>47</v>
      </c>
      <c r="O31" s="15"/>
      <c r="P31" s="15"/>
      <c r="Q31" s="15"/>
      <c r="S31" t="str">
        <f t="shared" si="15"/>
        <v>MinDst-03</v>
      </c>
      <c r="U31" t="str">
        <f t="shared" si="16"/>
        <v>OILDST</v>
      </c>
      <c r="V31">
        <f t="shared" si="9"/>
        <v>5.0000000000000044E-2</v>
      </c>
      <c r="W31" s="13">
        <f t="shared" si="10"/>
        <v>0.1628</v>
      </c>
      <c r="X31" s="13">
        <f t="shared" si="17"/>
        <v>5.0000000000000044E-2</v>
      </c>
      <c r="Y31" s="13"/>
    </row>
    <row r="32" spans="1:25" x14ac:dyDescent="0.25">
      <c r="A32" s="3" t="s">
        <v>15</v>
      </c>
      <c r="C32" s="9" t="str">
        <f t="shared" si="11"/>
        <v>MinDst-04</v>
      </c>
      <c r="D32">
        <f t="shared" si="12"/>
        <v>5.0000000000000044E-2</v>
      </c>
      <c r="E32" s="1">
        <f t="shared" si="8"/>
        <v>0.25</v>
      </c>
      <c r="F32" s="1">
        <f t="shared" si="8"/>
        <v>0.26826130918770036</v>
      </c>
      <c r="G32" s="1">
        <f t="shared" si="8"/>
        <v>0.28785652002839585</v>
      </c>
      <c r="J32" s="15"/>
      <c r="K32" s="15" t="str">
        <f t="shared" si="13"/>
        <v>MinDst-04</v>
      </c>
      <c r="L32" s="15" t="str">
        <f t="shared" si="14"/>
        <v>Dst Step - 04</v>
      </c>
      <c r="M32" s="15" t="s">
        <v>46</v>
      </c>
      <c r="N32" s="15" t="s">
        <v>47</v>
      </c>
      <c r="O32" s="15"/>
      <c r="P32" s="15"/>
      <c r="Q32" s="15"/>
      <c r="S32" t="str">
        <f t="shared" si="15"/>
        <v>MinDst-04</v>
      </c>
      <c r="U32" t="str">
        <f t="shared" si="16"/>
        <v>OILDST</v>
      </c>
      <c r="V32">
        <f t="shared" si="9"/>
        <v>5.0000000000000044E-2</v>
      </c>
      <c r="W32" s="13">
        <f t="shared" si="10"/>
        <v>0.25</v>
      </c>
      <c r="X32" s="13">
        <f t="shared" si="17"/>
        <v>5.0000000000000044E-2</v>
      </c>
      <c r="Y32" s="13"/>
    </row>
    <row r="33" spans="1:25" x14ac:dyDescent="0.25">
      <c r="A33" s="3" t="s">
        <v>16</v>
      </c>
      <c r="C33" s="9" t="str">
        <f t="shared" si="11"/>
        <v>MinDst-05</v>
      </c>
      <c r="D33">
        <f t="shared" si="12"/>
        <v>5.0000000000000044E-2</v>
      </c>
      <c r="E33" s="1">
        <f t="shared" si="8"/>
        <v>0.34150000000000003</v>
      </c>
      <c r="F33" s="1">
        <f t="shared" si="8"/>
        <v>0.3664449483503987</v>
      </c>
      <c r="G33" s="1">
        <f t="shared" si="8"/>
        <v>0.39321200635878878</v>
      </c>
      <c r="J33" s="15"/>
      <c r="K33" s="15" t="str">
        <f t="shared" si="13"/>
        <v>MinDst-05</v>
      </c>
      <c r="L33" s="15" t="str">
        <f t="shared" si="14"/>
        <v>Dst Step - 05</v>
      </c>
      <c r="M33" s="15" t="s">
        <v>46</v>
      </c>
      <c r="N33" s="15" t="s">
        <v>47</v>
      </c>
      <c r="O33" s="15"/>
      <c r="P33" s="15"/>
      <c r="Q33" s="15"/>
      <c r="S33" t="str">
        <f t="shared" si="15"/>
        <v>MinDst-05</v>
      </c>
      <c r="U33" t="str">
        <f t="shared" si="16"/>
        <v>OILDST</v>
      </c>
      <c r="V33">
        <f t="shared" si="9"/>
        <v>5.0000000000000044E-2</v>
      </c>
      <c r="W33" s="13">
        <f t="shared" si="10"/>
        <v>0.34150000000000003</v>
      </c>
      <c r="X33" s="13">
        <f t="shared" si="17"/>
        <v>5.0000000000000044E-2</v>
      </c>
      <c r="Y33" s="13"/>
    </row>
    <row r="34" spans="1:25" x14ac:dyDescent="0.25">
      <c r="A34" s="3" t="s">
        <v>17</v>
      </c>
      <c r="C34" s="9" t="str">
        <f t="shared" si="11"/>
        <v>MinDst-06</v>
      </c>
      <c r="D34">
        <f t="shared" si="12"/>
        <v>5.0000000000000044E-2</v>
      </c>
      <c r="E34" s="1">
        <f t="shared" si="8"/>
        <v>0.4375</v>
      </c>
      <c r="F34" s="1">
        <f t="shared" si="8"/>
        <v>0.46945729107847561</v>
      </c>
      <c r="G34" s="1">
        <f t="shared" si="8"/>
        <v>0.50374891004969269</v>
      </c>
      <c r="J34" s="15"/>
      <c r="K34" s="15" t="str">
        <f t="shared" si="13"/>
        <v>MinDst-06</v>
      </c>
      <c r="L34" s="15" t="str">
        <f t="shared" si="14"/>
        <v>Dst Step - 06</v>
      </c>
      <c r="M34" s="15" t="s">
        <v>46</v>
      </c>
      <c r="N34" s="15" t="s">
        <v>47</v>
      </c>
      <c r="O34" s="15"/>
      <c r="P34" s="15"/>
      <c r="Q34" s="15"/>
      <c r="S34" t="str">
        <f t="shared" si="15"/>
        <v>MinDst-06</v>
      </c>
      <c r="U34" t="str">
        <f t="shared" si="16"/>
        <v>OILDST</v>
      </c>
      <c r="V34">
        <f t="shared" si="9"/>
        <v>5.0000000000000044E-2</v>
      </c>
      <c r="W34" s="13">
        <f t="shared" si="10"/>
        <v>0.4375</v>
      </c>
      <c r="X34" s="13">
        <f t="shared" si="17"/>
        <v>5.0000000000000044E-2</v>
      </c>
      <c r="Y34" s="13"/>
    </row>
    <row r="35" spans="1:25" x14ac:dyDescent="0.25">
      <c r="A35" s="3" t="s">
        <v>18</v>
      </c>
      <c r="C35" s="9" t="str">
        <f t="shared" si="11"/>
        <v>MinDst-07</v>
      </c>
      <c r="D35">
        <f t="shared" si="12"/>
        <v>5.0000000000000044E-2</v>
      </c>
      <c r="E35" s="1">
        <f t="shared" si="8"/>
        <v>0.53849999999999998</v>
      </c>
      <c r="F35" s="1">
        <f t="shared" si="8"/>
        <v>0.57783485999030659</v>
      </c>
      <c r="G35" s="1">
        <f t="shared" si="8"/>
        <v>0.62004294414116468</v>
      </c>
      <c r="J35" s="15"/>
      <c r="K35" s="15" t="str">
        <f t="shared" si="13"/>
        <v>MinDst-07</v>
      </c>
      <c r="L35" s="15" t="str">
        <f t="shared" si="14"/>
        <v>Dst Step - 07</v>
      </c>
      <c r="M35" s="15" t="s">
        <v>46</v>
      </c>
      <c r="N35" s="15" t="s">
        <v>47</v>
      </c>
      <c r="O35" s="15"/>
      <c r="P35" s="15"/>
      <c r="Q35" s="15"/>
      <c r="S35" t="str">
        <f t="shared" si="15"/>
        <v>MinDst-07</v>
      </c>
      <c r="U35" t="str">
        <f t="shared" si="16"/>
        <v>OILDST</v>
      </c>
      <c r="V35">
        <f t="shared" si="9"/>
        <v>5.0000000000000044E-2</v>
      </c>
      <c r="W35" s="13">
        <f t="shared" si="10"/>
        <v>0.53849999999999998</v>
      </c>
      <c r="X35" s="13">
        <f t="shared" si="17"/>
        <v>5.0000000000000044E-2</v>
      </c>
      <c r="Y35" s="13"/>
    </row>
    <row r="36" spans="1:25" x14ac:dyDescent="0.25">
      <c r="A36" s="3" t="s">
        <v>19</v>
      </c>
      <c r="C36" s="9" t="str">
        <f t="shared" si="11"/>
        <v>MinDst-08</v>
      </c>
      <c r="D36">
        <f t="shared" si="12"/>
        <v>5.0000000000000044E-2</v>
      </c>
      <c r="E36" s="1">
        <f t="shared" si="8"/>
        <v>0.64470000000000005</v>
      </c>
      <c r="F36" s="1">
        <f t="shared" si="8"/>
        <v>0.69179226413324169</v>
      </c>
      <c r="G36" s="1">
        <f t="shared" si="8"/>
        <v>0.74232439384922722</v>
      </c>
      <c r="J36" s="15"/>
      <c r="K36" s="15" t="str">
        <f t="shared" si="13"/>
        <v>MinDst-08</v>
      </c>
      <c r="L36" s="15" t="str">
        <f t="shared" si="14"/>
        <v>Dst Step - 08</v>
      </c>
      <c r="M36" s="15" t="s">
        <v>46</v>
      </c>
      <c r="N36" s="15" t="s">
        <v>47</v>
      </c>
      <c r="O36" s="15"/>
      <c r="P36" s="15"/>
      <c r="Q36" s="15"/>
      <c r="S36" t="str">
        <f t="shared" si="15"/>
        <v>MinDst-08</v>
      </c>
      <c r="U36" t="str">
        <f t="shared" si="16"/>
        <v>OILDST</v>
      </c>
      <c r="V36">
        <f t="shared" si="9"/>
        <v>5.0000000000000044E-2</v>
      </c>
      <c r="W36" s="13">
        <f t="shared" si="10"/>
        <v>0.64470000000000005</v>
      </c>
      <c r="X36" s="13">
        <f t="shared" si="17"/>
        <v>5.0000000000000044E-2</v>
      </c>
      <c r="Y36" s="13"/>
    </row>
    <row r="37" spans="1:25" x14ac:dyDescent="0.25">
      <c r="A37" s="3" t="s">
        <v>20</v>
      </c>
      <c r="C37" s="9" t="str">
        <f t="shared" si="11"/>
        <v>MinDst-09</v>
      </c>
      <c r="D37">
        <f t="shared" si="12"/>
        <v>5.0000000000000044E-2</v>
      </c>
      <c r="E37" s="1">
        <f t="shared" si="8"/>
        <v>0.75680000000000003</v>
      </c>
      <c r="F37" s="1">
        <f t="shared" si="8"/>
        <v>0.81208063517300655</v>
      </c>
      <c r="G37" s="1">
        <f t="shared" si="8"/>
        <v>0.87139925742995994</v>
      </c>
      <c r="J37" s="15"/>
      <c r="K37" s="15" t="str">
        <f t="shared" si="13"/>
        <v>MinDst-09</v>
      </c>
      <c r="L37" s="15" t="str">
        <f t="shared" si="14"/>
        <v>Dst Step - 09</v>
      </c>
      <c r="M37" s="15" t="s">
        <v>46</v>
      </c>
      <c r="N37" s="15" t="s">
        <v>47</v>
      </c>
      <c r="O37" s="15"/>
      <c r="P37" s="15"/>
      <c r="Q37" s="15"/>
      <c r="S37" t="str">
        <f t="shared" si="15"/>
        <v>MinDst-09</v>
      </c>
      <c r="U37" t="str">
        <f t="shared" si="16"/>
        <v>OILDST</v>
      </c>
      <c r="V37">
        <f t="shared" si="9"/>
        <v>5.0000000000000044E-2</v>
      </c>
      <c r="W37" s="13">
        <f t="shared" si="10"/>
        <v>0.75680000000000003</v>
      </c>
      <c r="X37" s="13">
        <f t="shared" si="17"/>
        <v>5.0000000000000044E-2</v>
      </c>
      <c r="Y37" s="13"/>
    </row>
    <row r="38" spans="1:25" x14ac:dyDescent="0.25">
      <c r="A38" s="3" t="s">
        <v>21</v>
      </c>
      <c r="C38" s="9" t="str">
        <f t="shared" si="11"/>
        <v>MinDst-10</v>
      </c>
      <c r="D38">
        <f t="shared" si="12"/>
        <v>5.0000000000000044E-2</v>
      </c>
      <c r="E38" s="1">
        <f t="shared" si="8"/>
        <v>0.875</v>
      </c>
      <c r="F38" s="1">
        <f t="shared" si="8"/>
        <v>0.93891458215695123</v>
      </c>
      <c r="G38" s="1">
        <f t="shared" si="8"/>
        <v>1.0074978200993854</v>
      </c>
      <c r="J38" s="15"/>
      <c r="K38" s="15" t="str">
        <f t="shared" si="13"/>
        <v>MinDst-10</v>
      </c>
      <c r="L38" s="15" t="str">
        <f t="shared" si="14"/>
        <v>Dst Step - 10</v>
      </c>
      <c r="M38" s="15" t="s">
        <v>46</v>
      </c>
      <c r="N38" s="15" t="s">
        <v>47</v>
      </c>
      <c r="O38" s="15"/>
      <c r="P38" s="15"/>
      <c r="Q38" s="15"/>
      <c r="S38" t="str">
        <f t="shared" si="15"/>
        <v>MinDst-10</v>
      </c>
      <c r="U38" t="str">
        <f t="shared" si="16"/>
        <v>OILDST</v>
      </c>
      <c r="V38">
        <f t="shared" si="9"/>
        <v>5.0000000000000044E-2</v>
      </c>
      <c r="W38" s="13">
        <f t="shared" si="10"/>
        <v>0.875</v>
      </c>
      <c r="X38" s="13">
        <f t="shared" si="17"/>
        <v>5.0000000000000044E-2</v>
      </c>
      <c r="Y38" s="13"/>
    </row>
    <row r="39" spans="1:25" x14ac:dyDescent="0.25">
      <c r="A39" s="3" t="s">
        <v>22</v>
      </c>
      <c r="C39" s="9" t="str">
        <f t="shared" si="11"/>
        <v>MinDst-11</v>
      </c>
      <c r="D39" s="10">
        <f t="shared" si="12"/>
        <v>5.0000000000000044E-2</v>
      </c>
      <c r="E39" s="11">
        <f t="shared" si="8"/>
        <v>1</v>
      </c>
      <c r="F39" s="11">
        <f t="shared" si="8"/>
        <v>1.0730452367508014</v>
      </c>
      <c r="G39" s="11">
        <f t="shared" si="8"/>
        <v>1.1514260801135834</v>
      </c>
      <c r="J39" s="15"/>
      <c r="K39" s="15" t="str">
        <f t="shared" si="13"/>
        <v>MinDst-11</v>
      </c>
      <c r="L39" s="15" t="str">
        <f t="shared" si="14"/>
        <v>Dst Step - 11</v>
      </c>
      <c r="M39" s="15" t="s">
        <v>46</v>
      </c>
      <c r="N39" s="15" t="s">
        <v>47</v>
      </c>
      <c r="O39" s="15"/>
      <c r="P39" s="15"/>
      <c r="Q39" s="15"/>
      <c r="S39" t="str">
        <f t="shared" si="15"/>
        <v>MinDst-11</v>
      </c>
      <c r="U39" t="str">
        <f t="shared" si="16"/>
        <v>OILDST</v>
      </c>
      <c r="V39">
        <f t="shared" si="9"/>
        <v>5.0000000000000044E-2</v>
      </c>
      <c r="W39" s="13">
        <f t="shared" si="10"/>
        <v>1</v>
      </c>
      <c r="X39" s="13">
        <f t="shared" si="17"/>
        <v>5.0000000000000044E-2</v>
      </c>
      <c r="Y39" s="13"/>
    </row>
    <row r="40" spans="1:25" x14ac:dyDescent="0.25">
      <c r="A40" s="3" t="s">
        <v>23</v>
      </c>
      <c r="C40" s="9" t="str">
        <f t="shared" si="11"/>
        <v>MinDst-12</v>
      </c>
      <c r="D40">
        <f t="shared" si="12"/>
        <v>1</v>
      </c>
      <c r="E40" s="1">
        <f t="shared" si="8"/>
        <v>1.05</v>
      </c>
      <c r="F40" s="1">
        <f t="shared" si="8"/>
        <v>1.1266974985883416</v>
      </c>
      <c r="G40" s="1">
        <f t="shared" si="8"/>
        <v>1.2089973841192625</v>
      </c>
      <c r="J40" s="15"/>
      <c r="K40" s="15" t="str">
        <f t="shared" si="13"/>
        <v>MinDst-12</v>
      </c>
      <c r="L40" s="15" t="str">
        <f t="shared" si="14"/>
        <v>Dst Step - 12</v>
      </c>
      <c r="M40" s="15" t="s">
        <v>46</v>
      </c>
      <c r="N40" s="15" t="s">
        <v>47</v>
      </c>
      <c r="O40" s="15"/>
      <c r="P40" s="15"/>
      <c r="Q40" s="15"/>
      <c r="S40" t="str">
        <f t="shared" si="15"/>
        <v>MinDst-12</v>
      </c>
      <c r="U40" t="str">
        <f t="shared" si="16"/>
        <v>OILDST</v>
      </c>
      <c r="V40">
        <f t="shared" si="9"/>
        <v>1</v>
      </c>
      <c r="W40" s="13">
        <f t="shared" si="10"/>
        <v>1.05</v>
      </c>
      <c r="X40" s="13">
        <f t="shared" si="17"/>
        <v>1</v>
      </c>
      <c r="Y40" s="13"/>
    </row>
    <row r="41" spans="1:25" x14ac:dyDescent="0.25">
      <c r="A41" s="3" t="s">
        <v>24</v>
      </c>
      <c r="C41" s="9" t="str">
        <f t="shared" si="11"/>
        <v>MinDst-13</v>
      </c>
      <c r="D41">
        <f t="shared" si="12"/>
        <v>1</v>
      </c>
      <c r="E41" s="1">
        <f t="shared" si="8"/>
        <v>1.1000000000000001</v>
      </c>
      <c r="F41" s="1">
        <f t="shared" si="8"/>
        <v>1.1803497604258817</v>
      </c>
      <c r="G41" s="1">
        <f t="shared" si="8"/>
        <v>1.2665686881249418</v>
      </c>
      <c r="J41" s="15"/>
      <c r="K41" s="15" t="str">
        <f t="shared" si="13"/>
        <v>MinDst-13</v>
      </c>
      <c r="L41" s="15" t="str">
        <f t="shared" si="14"/>
        <v>Dst Step - 13</v>
      </c>
      <c r="M41" s="15" t="s">
        <v>46</v>
      </c>
      <c r="N41" s="15" t="s">
        <v>47</v>
      </c>
      <c r="O41" s="15"/>
      <c r="P41" s="15"/>
      <c r="Q41" s="15"/>
      <c r="S41" t="str">
        <f t="shared" si="15"/>
        <v>MinDst-13</v>
      </c>
      <c r="U41" t="str">
        <f t="shared" si="16"/>
        <v>OILDST</v>
      </c>
      <c r="V41">
        <f t="shared" si="9"/>
        <v>1</v>
      </c>
      <c r="W41" s="13">
        <f t="shared" si="10"/>
        <v>1.1000000000000001</v>
      </c>
      <c r="X41" s="13">
        <f t="shared" si="17"/>
        <v>1</v>
      </c>
      <c r="Y41" s="13"/>
    </row>
    <row r="42" spans="1:25" x14ac:dyDescent="0.25">
      <c r="A42" s="3" t="s">
        <v>25</v>
      </c>
      <c r="C42" s="9" t="str">
        <f t="shared" si="11"/>
        <v>MinDst-14</v>
      </c>
      <c r="D42">
        <f t="shared" si="12"/>
        <v>1</v>
      </c>
      <c r="E42" s="1">
        <f t="shared" si="8"/>
        <v>1.1499999999999999</v>
      </c>
      <c r="F42" s="1">
        <f t="shared" si="8"/>
        <v>1.2340020222634216</v>
      </c>
      <c r="G42" s="1">
        <f t="shared" si="8"/>
        <v>1.3241399921306207</v>
      </c>
      <c r="J42" s="15"/>
      <c r="K42" s="15" t="str">
        <f t="shared" si="13"/>
        <v>MinDst-14</v>
      </c>
      <c r="L42" s="15" t="str">
        <f t="shared" si="14"/>
        <v>Dst Step - 14</v>
      </c>
      <c r="M42" s="15" t="s">
        <v>46</v>
      </c>
      <c r="N42" s="15" t="s">
        <v>47</v>
      </c>
      <c r="O42" s="15"/>
      <c r="P42" s="15"/>
      <c r="Q42" s="15"/>
      <c r="S42" t="str">
        <f t="shared" si="15"/>
        <v>MinDst-14</v>
      </c>
      <c r="U42" t="str">
        <f t="shared" si="16"/>
        <v>OILDST</v>
      </c>
      <c r="V42">
        <f t="shared" si="9"/>
        <v>1</v>
      </c>
      <c r="W42" s="13">
        <f t="shared" si="10"/>
        <v>1.1499999999999999</v>
      </c>
      <c r="X42" s="13">
        <f t="shared" si="17"/>
        <v>1</v>
      </c>
      <c r="Y42" s="13"/>
    </row>
    <row r="43" spans="1:25" x14ac:dyDescent="0.25">
      <c r="A43" s="3" t="s">
        <v>26</v>
      </c>
      <c r="C43" s="9" t="str">
        <f t="shared" si="11"/>
        <v>MinDst-15</v>
      </c>
      <c r="D43">
        <f t="shared" si="12"/>
        <v>1</v>
      </c>
      <c r="E43" s="1">
        <f t="shared" si="8"/>
        <v>1.2</v>
      </c>
      <c r="F43" s="1">
        <f t="shared" si="8"/>
        <v>1.2876542841009617</v>
      </c>
      <c r="G43" s="1">
        <f t="shared" si="8"/>
        <v>1.3817112961363001</v>
      </c>
      <c r="J43" s="15"/>
      <c r="K43" s="15" t="str">
        <f t="shared" si="13"/>
        <v>MinDst-15</v>
      </c>
      <c r="L43" s="15" t="str">
        <f t="shared" si="14"/>
        <v>Dst Step - 15</v>
      </c>
      <c r="M43" s="15" t="s">
        <v>46</v>
      </c>
      <c r="N43" s="15" t="s">
        <v>47</v>
      </c>
      <c r="O43" s="15"/>
      <c r="P43" s="15"/>
      <c r="Q43" s="15"/>
      <c r="S43" t="str">
        <f t="shared" si="15"/>
        <v>MinDst-15</v>
      </c>
      <c r="U43" t="str">
        <f t="shared" si="16"/>
        <v>OILDST</v>
      </c>
      <c r="V43">
        <f t="shared" si="9"/>
        <v>1</v>
      </c>
      <c r="W43" s="13">
        <f t="shared" si="10"/>
        <v>1.2</v>
      </c>
      <c r="X43" s="13">
        <f t="shared" si="17"/>
        <v>1</v>
      </c>
      <c r="Y43" s="13"/>
    </row>
    <row r="44" spans="1:25" x14ac:dyDescent="0.25">
      <c r="A44" s="3" t="s">
        <v>27</v>
      </c>
      <c r="C44" s="9" t="str">
        <f t="shared" si="11"/>
        <v>MinDst-16</v>
      </c>
      <c r="D44">
        <f t="shared" si="12"/>
        <v>1</v>
      </c>
      <c r="E44" s="1">
        <f t="shared" ref="E44:G49" si="18">T17</f>
        <v>1.25</v>
      </c>
      <c r="F44" s="1">
        <f t="shared" si="18"/>
        <v>1.3413065459385018</v>
      </c>
      <c r="G44" s="1">
        <f t="shared" si="18"/>
        <v>1.4392826001419792</v>
      </c>
      <c r="J44" s="15"/>
      <c r="K44" s="15" t="str">
        <f t="shared" si="13"/>
        <v>MinDst-16</v>
      </c>
      <c r="L44" s="15" t="str">
        <f t="shared" si="14"/>
        <v>Dst Step - 16</v>
      </c>
      <c r="M44" s="15" t="s">
        <v>46</v>
      </c>
      <c r="N44" s="15" t="s">
        <v>47</v>
      </c>
      <c r="O44" s="15"/>
      <c r="P44" s="15"/>
      <c r="Q44" s="15"/>
      <c r="S44" t="str">
        <f t="shared" si="15"/>
        <v>MinDst-16</v>
      </c>
      <c r="U44" t="str">
        <f t="shared" si="16"/>
        <v>OILDST</v>
      </c>
      <c r="V44">
        <f t="shared" si="9"/>
        <v>1</v>
      </c>
      <c r="W44" s="13">
        <f t="shared" si="10"/>
        <v>1.25</v>
      </c>
      <c r="X44" s="13">
        <f t="shared" si="17"/>
        <v>1</v>
      </c>
      <c r="Y44" s="13"/>
    </row>
    <row r="45" spans="1:25" x14ac:dyDescent="0.25">
      <c r="A45" s="3" t="s">
        <v>28</v>
      </c>
      <c r="C45" s="9" t="str">
        <f t="shared" si="11"/>
        <v>MinDst-17</v>
      </c>
      <c r="D45">
        <f t="shared" si="12"/>
        <v>1</v>
      </c>
      <c r="E45" s="1">
        <f t="shared" si="18"/>
        <v>1.3</v>
      </c>
      <c r="F45" s="1">
        <f t="shared" si="18"/>
        <v>1.394958807776042</v>
      </c>
      <c r="G45" s="1">
        <f t="shared" si="18"/>
        <v>1.4968539041476585</v>
      </c>
      <c r="J45" s="15"/>
      <c r="K45" s="15" t="str">
        <f t="shared" si="13"/>
        <v>MinDst-17</v>
      </c>
      <c r="L45" s="15" t="str">
        <f t="shared" si="14"/>
        <v>Dst Step - 17</v>
      </c>
      <c r="M45" s="15" t="s">
        <v>46</v>
      </c>
      <c r="N45" s="15" t="s">
        <v>47</v>
      </c>
      <c r="O45" s="15"/>
      <c r="P45" s="15"/>
      <c r="Q45" s="15"/>
      <c r="S45" t="str">
        <f t="shared" si="15"/>
        <v>MinDst-17</v>
      </c>
      <c r="U45" t="str">
        <f t="shared" si="16"/>
        <v>OILDST</v>
      </c>
      <c r="V45">
        <f t="shared" si="9"/>
        <v>1</v>
      </c>
      <c r="W45" s="13">
        <f>E45</f>
        <v>1.3</v>
      </c>
      <c r="X45" s="13">
        <f t="shared" si="17"/>
        <v>1</v>
      </c>
      <c r="Y45" s="13"/>
    </row>
    <row r="46" spans="1:25" x14ac:dyDescent="0.25">
      <c r="A46" s="3" t="s">
        <v>29</v>
      </c>
      <c r="C46" s="9" t="str">
        <f t="shared" si="11"/>
        <v>MinDst-18</v>
      </c>
      <c r="D46">
        <f t="shared" si="12"/>
        <v>1</v>
      </c>
      <c r="E46" s="1">
        <f t="shared" si="18"/>
        <v>1.35</v>
      </c>
      <c r="F46" s="1">
        <f t="shared" si="18"/>
        <v>1.4486110696135821</v>
      </c>
      <c r="G46" s="1">
        <f t="shared" si="18"/>
        <v>1.5544252081533376</v>
      </c>
      <c r="J46" s="15"/>
      <c r="K46" s="15" t="str">
        <f t="shared" si="13"/>
        <v>MinDst-18</v>
      </c>
      <c r="L46" s="15" t="str">
        <f t="shared" si="14"/>
        <v>Dst Step - 18</v>
      </c>
      <c r="M46" s="15" t="s">
        <v>46</v>
      </c>
      <c r="N46" s="15" t="s">
        <v>47</v>
      </c>
      <c r="O46" s="15"/>
      <c r="P46" s="15"/>
      <c r="Q46" s="15"/>
      <c r="S46" t="str">
        <f t="shared" si="15"/>
        <v>MinDst-18</v>
      </c>
      <c r="U46" t="str">
        <f t="shared" si="16"/>
        <v>OILDST</v>
      </c>
      <c r="V46">
        <f t="shared" si="9"/>
        <v>1</v>
      </c>
      <c r="W46" s="13">
        <f>E46</f>
        <v>1.35</v>
      </c>
      <c r="X46" s="13">
        <f t="shared" si="17"/>
        <v>1</v>
      </c>
      <c r="Y46" s="13"/>
    </row>
    <row r="47" spans="1:25" x14ac:dyDescent="0.25">
      <c r="A47" s="3" t="s">
        <v>30</v>
      </c>
      <c r="C47" s="9" t="str">
        <f t="shared" si="11"/>
        <v>MinDst-19</v>
      </c>
      <c r="D47">
        <f t="shared" si="12"/>
        <v>1</v>
      </c>
      <c r="E47" s="1">
        <f t="shared" si="18"/>
        <v>1.4</v>
      </c>
      <c r="F47" s="1">
        <f t="shared" si="18"/>
        <v>1.502263331451122</v>
      </c>
      <c r="G47" s="1">
        <f t="shared" si="18"/>
        <v>1.6119965121590167</v>
      </c>
      <c r="J47" s="15"/>
      <c r="K47" s="15" t="str">
        <f t="shared" si="13"/>
        <v>MinDst-19</v>
      </c>
      <c r="L47" s="15" t="str">
        <f t="shared" si="14"/>
        <v>Dst Step - 19</v>
      </c>
      <c r="M47" s="15" t="s">
        <v>46</v>
      </c>
      <c r="N47" s="15" t="s">
        <v>47</v>
      </c>
      <c r="O47" s="15"/>
      <c r="P47" s="15"/>
      <c r="Q47" s="15"/>
      <c r="S47" t="str">
        <f t="shared" si="15"/>
        <v>MinDst-19</v>
      </c>
      <c r="U47" t="str">
        <f t="shared" si="16"/>
        <v>OILDST</v>
      </c>
      <c r="V47">
        <f t="shared" si="9"/>
        <v>1</v>
      </c>
      <c r="W47" s="13">
        <f>E47</f>
        <v>1.4</v>
      </c>
      <c r="X47" s="13">
        <f t="shared" si="17"/>
        <v>1</v>
      </c>
      <c r="Y47" s="13"/>
    </row>
    <row r="48" spans="1:25" x14ac:dyDescent="0.25">
      <c r="A48" s="3" t="s">
        <v>31</v>
      </c>
      <c r="C48" s="9" t="str">
        <f t="shared" si="11"/>
        <v>MinDst-20</v>
      </c>
      <c r="D48">
        <f t="shared" si="12"/>
        <v>1</v>
      </c>
      <c r="E48" s="1">
        <f t="shared" si="18"/>
        <v>1.45</v>
      </c>
      <c r="F48" s="1">
        <f t="shared" si="18"/>
        <v>1.5559155932886621</v>
      </c>
      <c r="G48" s="1">
        <f t="shared" si="18"/>
        <v>1.6695678161646959</v>
      </c>
      <c r="J48" s="15"/>
      <c r="K48" s="15" t="str">
        <f t="shared" si="13"/>
        <v>MinDst-20</v>
      </c>
      <c r="L48" s="15" t="str">
        <f t="shared" si="14"/>
        <v>Dst Step - 20</v>
      </c>
      <c r="M48" s="15" t="s">
        <v>46</v>
      </c>
      <c r="N48" s="15" t="s">
        <v>47</v>
      </c>
      <c r="O48" s="15"/>
      <c r="P48" s="15"/>
      <c r="Q48" s="15"/>
      <c r="S48" t="str">
        <f t="shared" si="15"/>
        <v>MinDst-20</v>
      </c>
      <c r="U48" t="str">
        <f t="shared" si="16"/>
        <v>OILDST</v>
      </c>
      <c r="V48">
        <f t="shared" si="9"/>
        <v>1</v>
      </c>
      <c r="W48" s="13">
        <f>E48</f>
        <v>1.45</v>
      </c>
      <c r="X48" s="13">
        <f t="shared" si="17"/>
        <v>1</v>
      </c>
      <c r="Y48" s="13"/>
    </row>
    <row r="49" spans="1:25" x14ac:dyDescent="0.25">
      <c r="A49" s="3" t="s">
        <v>32</v>
      </c>
      <c r="C49" s="9" t="str">
        <f t="shared" si="11"/>
        <v>MinDst-21</v>
      </c>
      <c r="D49">
        <f t="shared" si="12"/>
        <v>1</v>
      </c>
      <c r="E49" s="1">
        <f t="shared" si="18"/>
        <v>1.5</v>
      </c>
      <c r="F49" s="1">
        <f t="shared" si="18"/>
        <v>1.609567855126202</v>
      </c>
      <c r="G49" s="1">
        <f t="shared" si="18"/>
        <v>1.7271391201703752</v>
      </c>
      <c r="J49" s="15"/>
      <c r="K49" s="15" t="str">
        <f t="shared" si="13"/>
        <v>MinDst-21</v>
      </c>
      <c r="L49" s="15" t="str">
        <f t="shared" si="14"/>
        <v>Dst Step - 21</v>
      </c>
      <c r="M49" s="15" t="s">
        <v>46</v>
      </c>
      <c r="N49" s="15" t="s">
        <v>47</v>
      </c>
      <c r="O49" s="15"/>
      <c r="P49" s="15"/>
      <c r="Q49" s="15"/>
      <c r="S49" t="str">
        <f t="shared" si="15"/>
        <v>MinDst-21</v>
      </c>
      <c r="U49" t="str">
        <f t="shared" si="16"/>
        <v>OILDST</v>
      </c>
      <c r="V49">
        <f t="shared" si="9"/>
        <v>1</v>
      </c>
      <c r="W49" s="13">
        <f>E49</f>
        <v>1.5</v>
      </c>
      <c r="X49" s="13"/>
      <c r="Y49" s="13"/>
    </row>
  </sheetData>
  <mergeCells count="3">
    <mergeCell ref="B7:B9"/>
    <mergeCell ref="B10:B12"/>
    <mergeCell ref="E27:G27"/>
  </mergeCells>
  <pageMargins left="0.7" right="0.7" top="0.75" bottom="0.75" header="0.3" footer="0.3"/>
  <pageSetup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9"/>
  <sheetViews>
    <sheetView workbookViewId="0">
      <selection activeCell="F7" sqref="F7"/>
    </sheetView>
  </sheetViews>
  <sheetFormatPr defaultColWidth="8.85546875" defaultRowHeight="15" x14ac:dyDescent="0.25"/>
  <cols>
    <col min="1" max="1" width="20.7109375" bestFit="1" customWidth="1"/>
    <col min="2" max="2" width="3.42578125" bestFit="1" customWidth="1"/>
    <col min="3" max="3" width="16.28515625" bestFit="1" customWidth="1"/>
    <col min="4" max="4" width="9.28515625" bestFit="1" customWidth="1"/>
    <col min="5" max="5" width="6.85546875" bestFit="1" customWidth="1"/>
    <col min="6" max="6" width="8.85546875" bestFit="1" customWidth="1"/>
    <col min="7" max="7" width="9.85546875" bestFit="1" customWidth="1"/>
    <col min="8" max="10" width="8.85546875" customWidth="1"/>
    <col min="11" max="11" width="10.7109375" bestFit="1" customWidth="1"/>
  </cols>
  <sheetData>
    <row r="1" spans="1:22" x14ac:dyDescent="0.25">
      <c r="A1" s="12" t="s">
        <v>75</v>
      </c>
      <c r="T1" s="18">
        <f>'Gas-Min'!$T$1</f>
        <v>2010</v>
      </c>
      <c r="U1" s="18">
        <f>'Gas-Min'!$U$1</f>
        <v>2020</v>
      </c>
      <c r="V1" s="18">
        <f>'Gas-Min'!$V$1</f>
        <v>2030</v>
      </c>
    </row>
    <row r="2" spans="1:22" x14ac:dyDescent="0.25">
      <c r="A2" s="12" t="s">
        <v>79</v>
      </c>
      <c r="C2" s="7" t="s">
        <v>53</v>
      </c>
      <c r="D2" t="s">
        <v>8</v>
      </c>
      <c r="E2" t="s">
        <v>9</v>
      </c>
      <c r="R2">
        <f t="shared" ref="R2:R10" si="0">R3+($E$10-$D$10)/($D$12-1)</f>
        <v>3</v>
      </c>
      <c r="S2">
        <f t="shared" ref="S2:S11" si="1">S3-$D$11</f>
        <v>0.49999999999999961</v>
      </c>
      <c r="T2" s="13">
        <f t="shared" ref="T2:T11" si="2">ROUND((S2-$S$12)/$S$12/R2*$T$12+$T$12,4)</f>
        <v>4.1666999999999996</v>
      </c>
      <c r="U2" s="13">
        <f t="shared" ref="U2:U22" si="3">T2*(1+$D$14)^5</f>
        <v>4.2719143964089543</v>
      </c>
      <c r="V2" s="13">
        <f t="shared" ref="V2:V22" si="4">T2*(1+$D$14)^10</f>
        <v>4.3797855881743555</v>
      </c>
    </row>
    <row r="3" spans="1:22" x14ac:dyDescent="0.25">
      <c r="D3" s="4">
        <v>5</v>
      </c>
      <c r="E3" s="4">
        <v>1</v>
      </c>
      <c r="R3">
        <f t="shared" si="0"/>
        <v>3</v>
      </c>
      <c r="S3">
        <f t="shared" si="1"/>
        <v>0.5499999999999996</v>
      </c>
      <c r="T3" s="13">
        <f t="shared" si="2"/>
        <v>4.25</v>
      </c>
      <c r="U3" s="13">
        <f t="shared" si="3"/>
        <v>4.357317825794528</v>
      </c>
      <c r="V3" s="13">
        <f t="shared" si="4"/>
        <v>4.4673455611733539</v>
      </c>
    </row>
    <row r="4" spans="1:22" x14ac:dyDescent="0.25">
      <c r="R4">
        <f t="shared" si="0"/>
        <v>3</v>
      </c>
      <c r="S4">
        <f t="shared" si="1"/>
        <v>0.59999999999999964</v>
      </c>
      <c r="T4" s="13">
        <f t="shared" si="2"/>
        <v>4.3333000000000004</v>
      </c>
      <c r="U4" s="13">
        <f t="shared" si="3"/>
        <v>4.4427212551801007</v>
      </c>
      <c r="V4" s="13">
        <f t="shared" si="4"/>
        <v>4.5549055341723523</v>
      </c>
    </row>
    <row r="5" spans="1:22" x14ac:dyDescent="0.25">
      <c r="R5">
        <f t="shared" si="0"/>
        <v>3</v>
      </c>
      <c r="S5">
        <f t="shared" si="1"/>
        <v>0.64999999999999969</v>
      </c>
      <c r="T5" s="13">
        <f t="shared" si="2"/>
        <v>4.4166999999999996</v>
      </c>
      <c r="U5" s="13">
        <f t="shared" si="3"/>
        <v>4.5282272096909857</v>
      </c>
      <c r="V5" s="13">
        <f t="shared" si="4"/>
        <v>4.6425706211845528</v>
      </c>
    </row>
    <row r="6" spans="1:22" x14ac:dyDescent="0.25">
      <c r="D6" s="2" t="s">
        <v>10</v>
      </c>
      <c r="E6" s="2" t="s">
        <v>11</v>
      </c>
      <c r="R6">
        <f t="shared" si="0"/>
        <v>3</v>
      </c>
      <c r="S6">
        <f t="shared" si="1"/>
        <v>0.69999999999999973</v>
      </c>
      <c r="T6" s="13">
        <f t="shared" si="2"/>
        <v>4.5</v>
      </c>
      <c r="U6" s="13">
        <f t="shared" si="3"/>
        <v>4.6136306390765585</v>
      </c>
      <c r="V6" s="13">
        <f t="shared" si="4"/>
        <v>4.7301305941835512</v>
      </c>
    </row>
    <row r="7" spans="1:22" x14ac:dyDescent="0.25">
      <c r="B7" s="25" t="s">
        <v>0</v>
      </c>
      <c r="C7" t="s">
        <v>2</v>
      </c>
      <c r="D7" s="4">
        <v>3</v>
      </c>
      <c r="E7" s="4">
        <v>2</v>
      </c>
      <c r="R7">
        <f t="shared" si="0"/>
        <v>3</v>
      </c>
      <c r="S7">
        <f t="shared" si="1"/>
        <v>0.74999999999999978</v>
      </c>
      <c r="T7" s="13">
        <f t="shared" si="2"/>
        <v>4.5833000000000004</v>
      </c>
      <c r="U7" s="13">
        <f t="shared" si="3"/>
        <v>4.6990340684621321</v>
      </c>
      <c r="V7" s="13">
        <f t="shared" si="4"/>
        <v>4.8176905671825496</v>
      </c>
    </row>
    <row r="8" spans="1:22" x14ac:dyDescent="0.25">
      <c r="B8" s="25"/>
      <c r="C8" t="s">
        <v>6</v>
      </c>
      <c r="D8" s="4">
        <f>0.2*E3</f>
        <v>0.2</v>
      </c>
      <c r="R8">
        <f t="shared" si="0"/>
        <v>3</v>
      </c>
      <c r="S8">
        <f t="shared" si="1"/>
        <v>0.79999999999999982</v>
      </c>
      <c r="T8" s="13">
        <f t="shared" si="2"/>
        <v>4.6666999999999996</v>
      </c>
      <c r="U8" s="13">
        <f t="shared" si="3"/>
        <v>4.7845400229730162</v>
      </c>
      <c r="V8" s="13">
        <f t="shared" si="4"/>
        <v>4.9053556541947501</v>
      </c>
    </row>
    <row r="9" spans="1:22" x14ac:dyDescent="0.25">
      <c r="B9" s="25"/>
      <c r="C9" t="s">
        <v>1</v>
      </c>
      <c r="D9" s="4">
        <v>10</v>
      </c>
      <c r="R9">
        <f t="shared" si="0"/>
        <v>3</v>
      </c>
      <c r="S9">
        <f t="shared" si="1"/>
        <v>0.84999999999999987</v>
      </c>
      <c r="T9" s="13">
        <f t="shared" si="2"/>
        <v>4.75</v>
      </c>
      <c r="U9" s="13">
        <f t="shared" si="3"/>
        <v>4.8699434523585898</v>
      </c>
      <c r="V9" s="13">
        <f t="shared" si="4"/>
        <v>4.9929156271937485</v>
      </c>
    </row>
    <row r="10" spans="1:22" x14ac:dyDescent="0.25">
      <c r="B10" s="25" t="s">
        <v>3</v>
      </c>
      <c r="C10" t="s">
        <v>2</v>
      </c>
      <c r="D10" s="4">
        <v>3</v>
      </c>
      <c r="E10" s="4">
        <v>3</v>
      </c>
      <c r="R10">
        <f t="shared" si="0"/>
        <v>3</v>
      </c>
      <c r="S10">
        <f t="shared" si="1"/>
        <v>0.89999999999999991</v>
      </c>
      <c r="T10" s="13">
        <f t="shared" si="2"/>
        <v>4.8333000000000004</v>
      </c>
      <c r="U10" s="13">
        <f t="shared" si="3"/>
        <v>4.9553468817441626</v>
      </c>
      <c r="V10" s="13">
        <f t="shared" si="4"/>
        <v>5.0804756001927469</v>
      </c>
    </row>
    <row r="11" spans="1:22" x14ac:dyDescent="0.25">
      <c r="B11" s="25"/>
      <c r="C11" t="s">
        <v>6</v>
      </c>
      <c r="D11" s="4">
        <v>0.05</v>
      </c>
      <c r="R11">
        <f>D10</f>
        <v>3</v>
      </c>
      <c r="S11">
        <f t="shared" si="1"/>
        <v>0.95</v>
      </c>
      <c r="T11" s="13">
        <f t="shared" si="2"/>
        <v>4.9166999999999996</v>
      </c>
      <c r="U11" s="13">
        <f t="shared" si="3"/>
        <v>5.0408528362550475</v>
      </c>
      <c r="V11" s="13">
        <f t="shared" si="4"/>
        <v>5.1681406872049473</v>
      </c>
    </row>
    <row r="12" spans="1:22" x14ac:dyDescent="0.25">
      <c r="B12" s="25"/>
      <c r="C12" t="s">
        <v>1</v>
      </c>
      <c r="D12" s="4">
        <v>10</v>
      </c>
      <c r="S12">
        <f>E3</f>
        <v>1</v>
      </c>
      <c r="T12" s="13">
        <f>D3</f>
        <v>5</v>
      </c>
      <c r="U12" s="13">
        <f t="shared" si="3"/>
        <v>5.1262562656406203</v>
      </c>
      <c r="V12" s="13">
        <f t="shared" si="4"/>
        <v>5.2557006602039458</v>
      </c>
    </row>
    <row r="13" spans="1:22" x14ac:dyDescent="0.25">
      <c r="R13">
        <f>D7</f>
        <v>3</v>
      </c>
      <c r="S13">
        <f t="shared" ref="S13:S22" si="5">S12+$D$8</f>
        <v>1.2</v>
      </c>
      <c r="T13" s="13">
        <f t="shared" ref="T13:T22" si="6">ROUND((S13-$S$12)/$S$12/R13*$T$12+$T$12,4)</f>
        <v>5.3333000000000004</v>
      </c>
      <c r="U13" s="13">
        <f t="shared" si="3"/>
        <v>5.4679725083082253</v>
      </c>
      <c r="V13" s="13">
        <f t="shared" si="4"/>
        <v>5.6060456662131415</v>
      </c>
    </row>
    <row r="14" spans="1:22" x14ac:dyDescent="0.25">
      <c r="C14" t="s">
        <v>7</v>
      </c>
      <c r="D14" s="14">
        <v>5.0000000000000001E-3</v>
      </c>
      <c r="R14">
        <f t="shared" ref="R14:R22" si="7">R13+($E$7-$D$7)/($D$9-1)</f>
        <v>2.8888888888888888</v>
      </c>
      <c r="S14">
        <f t="shared" si="5"/>
        <v>1.4</v>
      </c>
      <c r="T14" s="13">
        <f t="shared" si="6"/>
        <v>5.6923000000000004</v>
      </c>
      <c r="U14" s="13">
        <f t="shared" si="3"/>
        <v>5.8360377081812214</v>
      </c>
      <c r="V14" s="13">
        <f t="shared" si="4"/>
        <v>5.9834049736157846</v>
      </c>
    </row>
    <row r="15" spans="1:22" x14ac:dyDescent="0.25">
      <c r="R15">
        <f t="shared" si="7"/>
        <v>2.7777777777777777</v>
      </c>
      <c r="S15">
        <f t="shared" si="5"/>
        <v>1.5999999999999999</v>
      </c>
      <c r="T15" s="13">
        <f t="shared" si="6"/>
        <v>6.08</v>
      </c>
      <c r="U15" s="13">
        <f t="shared" si="3"/>
        <v>6.2335276190189948</v>
      </c>
      <c r="V15" s="13">
        <f t="shared" si="4"/>
        <v>6.3909320028079986</v>
      </c>
    </row>
    <row r="16" spans="1:22" x14ac:dyDescent="0.25">
      <c r="R16">
        <f t="shared" si="7"/>
        <v>2.6666666666666665</v>
      </c>
      <c r="S16">
        <f t="shared" si="5"/>
        <v>1.7999999999999998</v>
      </c>
      <c r="T16" s="13">
        <f t="shared" si="6"/>
        <v>6.5</v>
      </c>
      <c r="U16" s="13">
        <f t="shared" si="3"/>
        <v>6.6641331453328068</v>
      </c>
      <c r="V16" s="13">
        <f t="shared" si="4"/>
        <v>6.8324108582651295</v>
      </c>
    </row>
    <row r="17" spans="1:25" x14ac:dyDescent="0.25">
      <c r="R17">
        <f t="shared" si="7"/>
        <v>2.5555555555555554</v>
      </c>
      <c r="S17">
        <f t="shared" si="5"/>
        <v>1.9999999999999998</v>
      </c>
      <c r="T17" s="13">
        <f t="shared" si="6"/>
        <v>6.9565000000000001</v>
      </c>
      <c r="U17" s="13">
        <f t="shared" si="3"/>
        <v>7.132160342385796</v>
      </c>
      <c r="V17" s="13">
        <f t="shared" si="4"/>
        <v>7.3122563285417499</v>
      </c>
    </row>
    <row r="18" spans="1:25" x14ac:dyDescent="0.25">
      <c r="R18">
        <f t="shared" si="7"/>
        <v>2.4444444444444442</v>
      </c>
      <c r="S18">
        <f t="shared" si="5"/>
        <v>2.1999999999999997</v>
      </c>
      <c r="T18" s="13">
        <f t="shared" si="6"/>
        <v>7.4545000000000003</v>
      </c>
      <c r="U18" s="13">
        <f t="shared" si="3"/>
        <v>7.642735466443602</v>
      </c>
      <c r="V18" s="13">
        <f t="shared" si="4"/>
        <v>7.8357241142980634</v>
      </c>
    </row>
    <row r="19" spans="1:25" x14ac:dyDescent="0.25">
      <c r="R19">
        <f t="shared" si="7"/>
        <v>2.333333333333333</v>
      </c>
      <c r="S19">
        <f t="shared" si="5"/>
        <v>2.4</v>
      </c>
      <c r="T19" s="13">
        <f t="shared" si="6"/>
        <v>8</v>
      </c>
      <c r="U19" s="13">
        <f t="shared" si="3"/>
        <v>8.2020100250249932</v>
      </c>
      <c r="V19" s="13">
        <f t="shared" si="4"/>
        <v>8.4091210563263132</v>
      </c>
    </row>
    <row r="20" spans="1:25" x14ac:dyDescent="0.25">
      <c r="R20">
        <f t="shared" si="7"/>
        <v>2.2222222222222219</v>
      </c>
      <c r="S20">
        <f t="shared" si="5"/>
        <v>2.6</v>
      </c>
      <c r="T20" s="13">
        <f t="shared" si="6"/>
        <v>8.6</v>
      </c>
      <c r="U20" s="13">
        <f t="shared" si="3"/>
        <v>8.8171607769018667</v>
      </c>
      <c r="V20" s="13">
        <f t="shared" si="4"/>
        <v>9.039805135550786</v>
      </c>
    </row>
    <row r="21" spans="1:25" x14ac:dyDescent="0.25">
      <c r="R21">
        <f t="shared" si="7"/>
        <v>2.1111111111111107</v>
      </c>
      <c r="S21">
        <f t="shared" si="5"/>
        <v>2.8000000000000003</v>
      </c>
      <c r="T21" s="13">
        <f t="shared" si="6"/>
        <v>9.2631999999999994</v>
      </c>
      <c r="U21" s="13">
        <f t="shared" si="3"/>
        <v>9.4971074079764399</v>
      </c>
      <c r="V21" s="13">
        <f t="shared" si="4"/>
        <v>9.736921271120238</v>
      </c>
    </row>
    <row r="22" spans="1:25" x14ac:dyDescent="0.25">
      <c r="R22">
        <f t="shared" si="7"/>
        <v>1.9999999999999996</v>
      </c>
      <c r="S22">
        <f t="shared" si="5"/>
        <v>3.0000000000000004</v>
      </c>
      <c r="T22" s="13">
        <f t="shared" si="6"/>
        <v>10</v>
      </c>
      <c r="U22" s="13">
        <f t="shared" si="3"/>
        <v>10.252512531281241</v>
      </c>
      <c r="V22" s="13">
        <f t="shared" si="4"/>
        <v>10.511401320407892</v>
      </c>
    </row>
    <row r="27" spans="1:25" x14ac:dyDescent="0.25">
      <c r="E27" s="24" t="s">
        <v>5</v>
      </c>
      <c r="F27" s="24"/>
      <c r="G27" s="24"/>
      <c r="J27" s="15" t="s">
        <v>34</v>
      </c>
      <c r="K27" s="15"/>
      <c r="L27" s="15"/>
      <c r="M27" s="15"/>
      <c r="N27" s="15"/>
      <c r="O27" s="15"/>
      <c r="P27" s="15"/>
      <c r="Q27" s="15"/>
      <c r="U27" s="18" t="s">
        <v>97</v>
      </c>
    </row>
    <row r="28" spans="1:25" x14ac:dyDescent="0.25">
      <c r="D28" s="8" t="s">
        <v>4</v>
      </c>
      <c r="E28" s="6">
        <f t="shared" ref="E28:G43" si="8">T1</f>
        <v>2010</v>
      </c>
      <c r="F28" s="6">
        <f t="shared" si="8"/>
        <v>2020</v>
      </c>
      <c r="G28" s="6">
        <f t="shared" si="8"/>
        <v>2030</v>
      </c>
      <c r="J28" s="15" t="s">
        <v>35</v>
      </c>
      <c r="K28" s="15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5" t="s">
        <v>41</v>
      </c>
      <c r="Q28" s="15" t="s">
        <v>42</v>
      </c>
      <c r="S28" t="s">
        <v>36</v>
      </c>
      <c r="T28" t="s">
        <v>43</v>
      </c>
      <c r="U28" t="s">
        <v>44</v>
      </c>
      <c r="V28" t="s">
        <v>4</v>
      </c>
      <c r="W28">
        <f>E28</f>
        <v>2010</v>
      </c>
      <c r="X28" t="str">
        <f>V28&amp;"~2050"</f>
        <v>ACT_BND~2050</v>
      </c>
    </row>
    <row r="29" spans="1:25" x14ac:dyDescent="0.25">
      <c r="A29" s="3" t="s">
        <v>12</v>
      </c>
      <c r="C29" s="9" t="str">
        <f>$C$2&amp;"-"&amp;A29</f>
        <v>MinBio-01</v>
      </c>
      <c r="D29">
        <f>S2</f>
        <v>0.49999999999999961</v>
      </c>
      <c r="E29" s="1">
        <f t="shared" si="8"/>
        <v>4.1666999999999996</v>
      </c>
      <c r="F29" s="1">
        <f t="shared" si="8"/>
        <v>4.2719143964089543</v>
      </c>
      <c r="G29" s="1">
        <f t="shared" si="8"/>
        <v>4.3797855881743555</v>
      </c>
      <c r="J29" s="15" t="s">
        <v>45</v>
      </c>
      <c r="K29" s="15" t="str">
        <f>C29</f>
        <v>MinBio-01</v>
      </c>
      <c r="L29" s="15" t="str">
        <f>$A$2&amp;" Step - "&amp;A29</f>
        <v>Biomass Step - 01</v>
      </c>
      <c r="M29" s="15" t="s">
        <v>46</v>
      </c>
      <c r="N29" s="15" t="s">
        <v>47</v>
      </c>
      <c r="O29" s="15"/>
      <c r="P29" s="15"/>
      <c r="Q29" s="15"/>
      <c r="S29" t="str">
        <f>K29</f>
        <v>MinBio-01</v>
      </c>
      <c r="U29" t="str">
        <f>$A$1</f>
        <v>BIOCRP</v>
      </c>
      <c r="V29">
        <f t="shared" ref="V29:W49" si="9">D29</f>
        <v>0.49999999999999961</v>
      </c>
      <c r="W29" s="13">
        <f t="shared" si="9"/>
        <v>4.1666999999999996</v>
      </c>
      <c r="X29" s="13">
        <f>V29</f>
        <v>0.49999999999999961</v>
      </c>
      <c r="Y29" s="13"/>
    </row>
    <row r="30" spans="1:25" x14ac:dyDescent="0.25">
      <c r="A30" s="3" t="s">
        <v>13</v>
      </c>
      <c r="C30" s="9" t="str">
        <f t="shared" ref="C30:C49" si="10">$C$2&amp;"-"&amp;A30</f>
        <v>MinBio-02</v>
      </c>
      <c r="D30">
        <f t="shared" ref="D30:D49" si="11">S3-S2</f>
        <v>4.9999999999999989E-2</v>
      </c>
      <c r="E30" s="1">
        <f t="shared" si="8"/>
        <v>4.25</v>
      </c>
      <c r="F30" s="1">
        <f t="shared" si="8"/>
        <v>4.357317825794528</v>
      </c>
      <c r="G30" s="1">
        <f t="shared" si="8"/>
        <v>4.4673455611733539</v>
      </c>
      <c r="J30" s="15"/>
      <c r="K30" s="15" t="str">
        <f t="shared" ref="K30:K49" si="12">C30</f>
        <v>MinBio-02</v>
      </c>
      <c r="L30" s="15" t="str">
        <f t="shared" ref="L30:L49" si="13">$A$2&amp;" Step - "&amp;A30</f>
        <v>Biomass Step - 02</v>
      </c>
      <c r="M30" s="15" t="s">
        <v>46</v>
      </c>
      <c r="N30" s="15" t="s">
        <v>47</v>
      </c>
      <c r="O30" s="15"/>
      <c r="P30" s="15"/>
      <c r="Q30" s="15"/>
      <c r="S30" t="str">
        <f t="shared" ref="S30:S49" si="14">K30</f>
        <v>MinBio-02</v>
      </c>
      <c r="U30" t="str">
        <f t="shared" ref="U30:U49" si="15">$A$1</f>
        <v>BIOCRP</v>
      </c>
      <c r="V30">
        <f t="shared" si="9"/>
        <v>4.9999999999999989E-2</v>
      </c>
      <c r="W30" s="13">
        <f t="shared" si="9"/>
        <v>4.25</v>
      </c>
      <c r="X30" s="13">
        <f t="shared" ref="X30:X48" si="16">V30</f>
        <v>4.9999999999999989E-2</v>
      </c>
      <c r="Y30" s="13"/>
    </row>
    <row r="31" spans="1:25" x14ac:dyDescent="0.25">
      <c r="A31" s="3" t="s">
        <v>14</v>
      </c>
      <c r="C31" s="9" t="str">
        <f t="shared" si="10"/>
        <v>MinBio-03</v>
      </c>
      <c r="D31">
        <f t="shared" si="11"/>
        <v>5.0000000000000044E-2</v>
      </c>
      <c r="E31" s="1">
        <f t="shared" si="8"/>
        <v>4.3333000000000004</v>
      </c>
      <c r="F31" s="1">
        <f t="shared" si="8"/>
        <v>4.4427212551801007</v>
      </c>
      <c r="G31" s="1">
        <f t="shared" si="8"/>
        <v>4.5549055341723523</v>
      </c>
      <c r="J31" s="15"/>
      <c r="K31" s="15" t="str">
        <f t="shared" si="12"/>
        <v>MinBio-03</v>
      </c>
      <c r="L31" s="15" t="str">
        <f t="shared" si="13"/>
        <v>Biomass Step - 03</v>
      </c>
      <c r="M31" s="15" t="s">
        <v>46</v>
      </c>
      <c r="N31" s="15" t="s">
        <v>47</v>
      </c>
      <c r="O31" s="15"/>
      <c r="P31" s="15"/>
      <c r="Q31" s="15"/>
      <c r="S31" t="str">
        <f t="shared" si="14"/>
        <v>MinBio-03</v>
      </c>
      <c r="U31" t="str">
        <f t="shared" si="15"/>
        <v>BIOCRP</v>
      </c>
      <c r="V31">
        <f t="shared" si="9"/>
        <v>5.0000000000000044E-2</v>
      </c>
      <c r="W31" s="13">
        <f t="shared" si="9"/>
        <v>4.3333000000000004</v>
      </c>
      <c r="X31" s="13">
        <f t="shared" si="16"/>
        <v>5.0000000000000044E-2</v>
      </c>
      <c r="Y31" s="13"/>
    </row>
    <row r="32" spans="1:25" x14ac:dyDescent="0.25">
      <c r="A32" s="3" t="s">
        <v>15</v>
      </c>
      <c r="C32" s="9" t="str">
        <f t="shared" si="10"/>
        <v>MinBio-04</v>
      </c>
      <c r="D32">
        <f t="shared" si="11"/>
        <v>5.0000000000000044E-2</v>
      </c>
      <c r="E32" s="1">
        <f t="shared" si="8"/>
        <v>4.4166999999999996</v>
      </c>
      <c r="F32" s="1">
        <f t="shared" si="8"/>
        <v>4.5282272096909857</v>
      </c>
      <c r="G32" s="1">
        <f t="shared" si="8"/>
        <v>4.6425706211845528</v>
      </c>
      <c r="J32" s="15"/>
      <c r="K32" s="15" t="str">
        <f t="shared" si="12"/>
        <v>MinBio-04</v>
      </c>
      <c r="L32" s="15" t="str">
        <f t="shared" si="13"/>
        <v>Biomass Step - 04</v>
      </c>
      <c r="M32" s="15" t="s">
        <v>46</v>
      </c>
      <c r="N32" s="15" t="s">
        <v>47</v>
      </c>
      <c r="O32" s="15"/>
      <c r="P32" s="15"/>
      <c r="Q32" s="15"/>
      <c r="S32" t="str">
        <f t="shared" si="14"/>
        <v>MinBio-04</v>
      </c>
      <c r="U32" t="str">
        <f t="shared" si="15"/>
        <v>BIOCRP</v>
      </c>
      <c r="V32">
        <f t="shared" si="9"/>
        <v>5.0000000000000044E-2</v>
      </c>
      <c r="W32" s="13">
        <f t="shared" si="9"/>
        <v>4.4166999999999996</v>
      </c>
      <c r="X32" s="13">
        <f t="shared" si="16"/>
        <v>5.0000000000000044E-2</v>
      </c>
      <c r="Y32" s="13"/>
    </row>
    <row r="33" spans="1:25" x14ac:dyDescent="0.25">
      <c r="A33" s="3" t="s">
        <v>16</v>
      </c>
      <c r="C33" s="9" t="str">
        <f t="shared" si="10"/>
        <v>MinBio-05</v>
      </c>
      <c r="D33">
        <f t="shared" si="11"/>
        <v>5.0000000000000044E-2</v>
      </c>
      <c r="E33" s="1">
        <f t="shared" si="8"/>
        <v>4.5</v>
      </c>
      <c r="F33" s="1">
        <f t="shared" si="8"/>
        <v>4.6136306390765585</v>
      </c>
      <c r="G33" s="1">
        <f t="shared" si="8"/>
        <v>4.7301305941835512</v>
      </c>
      <c r="J33" s="15"/>
      <c r="K33" s="15" t="str">
        <f t="shared" si="12"/>
        <v>MinBio-05</v>
      </c>
      <c r="L33" s="15" t="str">
        <f t="shared" si="13"/>
        <v>Biomass Step - 05</v>
      </c>
      <c r="M33" s="15" t="s">
        <v>46</v>
      </c>
      <c r="N33" s="15" t="s">
        <v>47</v>
      </c>
      <c r="O33" s="15"/>
      <c r="P33" s="15"/>
      <c r="Q33" s="15"/>
      <c r="S33" t="str">
        <f t="shared" si="14"/>
        <v>MinBio-05</v>
      </c>
      <c r="U33" t="str">
        <f t="shared" si="15"/>
        <v>BIOCRP</v>
      </c>
      <c r="V33">
        <f t="shared" si="9"/>
        <v>5.0000000000000044E-2</v>
      </c>
      <c r="W33" s="13">
        <f t="shared" si="9"/>
        <v>4.5</v>
      </c>
      <c r="X33" s="13">
        <f t="shared" si="16"/>
        <v>5.0000000000000044E-2</v>
      </c>
      <c r="Y33" s="13"/>
    </row>
    <row r="34" spans="1:25" x14ac:dyDescent="0.25">
      <c r="A34" s="3" t="s">
        <v>17</v>
      </c>
      <c r="C34" s="9" t="str">
        <f t="shared" si="10"/>
        <v>MinBio-06</v>
      </c>
      <c r="D34">
        <f t="shared" si="11"/>
        <v>5.0000000000000044E-2</v>
      </c>
      <c r="E34" s="1">
        <f t="shared" si="8"/>
        <v>4.5833000000000004</v>
      </c>
      <c r="F34" s="1">
        <f t="shared" si="8"/>
        <v>4.6990340684621321</v>
      </c>
      <c r="G34" s="1">
        <f t="shared" si="8"/>
        <v>4.8176905671825496</v>
      </c>
      <c r="J34" s="15"/>
      <c r="K34" s="15" t="str">
        <f t="shared" si="12"/>
        <v>MinBio-06</v>
      </c>
      <c r="L34" s="15" t="str">
        <f t="shared" si="13"/>
        <v>Biomass Step - 06</v>
      </c>
      <c r="M34" s="15" t="s">
        <v>46</v>
      </c>
      <c r="N34" s="15" t="s">
        <v>47</v>
      </c>
      <c r="O34" s="15"/>
      <c r="P34" s="15"/>
      <c r="Q34" s="15"/>
      <c r="S34" t="str">
        <f t="shared" si="14"/>
        <v>MinBio-06</v>
      </c>
      <c r="U34" t="str">
        <f t="shared" si="15"/>
        <v>BIOCRP</v>
      </c>
      <c r="V34">
        <f t="shared" si="9"/>
        <v>5.0000000000000044E-2</v>
      </c>
      <c r="W34" s="13">
        <f t="shared" si="9"/>
        <v>4.5833000000000004</v>
      </c>
      <c r="X34" s="13">
        <f t="shared" si="16"/>
        <v>5.0000000000000044E-2</v>
      </c>
      <c r="Y34" s="13"/>
    </row>
    <row r="35" spans="1:25" x14ac:dyDescent="0.25">
      <c r="A35" s="3" t="s">
        <v>18</v>
      </c>
      <c r="C35" s="9" t="str">
        <f t="shared" si="10"/>
        <v>MinBio-07</v>
      </c>
      <c r="D35">
        <f t="shared" si="11"/>
        <v>5.0000000000000044E-2</v>
      </c>
      <c r="E35" s="1">
        <f t="shared" si="8"/>
        <v>4.6666999999999996</v>
      </c>
      <c r="F35" s="1">
        <f t="shared" si="8"/>
        <v>4.7845400229730162</v>
      </c>
      <c r="G35" s="1">
        <f t="shared" si="8"/>
        <v>4.9053556541947501</v>
      </c>
      <c r="J35" s="15"/>
      <c r="K35" s="15" t="str">
        <f t="shared" si="12"/>
        <v>MinBio-07</v>
      </c>
      <c r="L35" s="15" t="str">
        <f t="shared" si="13"/>
        <v>Biomass Step - 07</v>
      </c>
      <c r="M35" s="15" t="s">
        <v>46</v>
      </c>
      <c r="N35" s="15" t="s">
        <v>47</v>
      </c>
      <c r="O35" s="15"/>
      <c r="P35" s="15"/>
      <c r="Q35" s="15"/>
      <c r="S35" t="str">
        <f t="shared" si="14"/>
        <v>MinBio-07</v>
      </c>
      <c r="U35" t="str">
        <f t="shared" si="15"/>
        <v>BIOCRP</v>
      </c>
      <c r="V35">
        <f t="shared" si="9"/>
        <v>5.0000000000000044E-2</v>
      </c>
      <c r="W35" s="13">
        <f t="shared" si="9"/>
        <v>4.6666999999999996</v>
      </c>
      <c r="X35" s="13">
        <f t="shared" si="16"/>
        <v>5.0000000000000044E-2</v>
      </c>
      <c r="Y35" s="13"/>
    </row>
    <row r="36" spans="1:25" x14ac:dyDescent="0.25">
      <c r="A36" s="3" t="s">
        <v>19</v>
      </c>
      <c r="C36" s="9" t="str">
        <f t="shared" si="10"/>
        <v>MinBio-08</v>
      </c>
      <c r="D36">
        <f t="shared" si="11"/>
        <v>5.0000000000000044E-2</v>
      </c>
      <c r="E36" s="1">
        <f t="shared" si="8"/>
        <v>4.75</v>
      </c>
      <c r="F36" s="1">
        <f t="shared" si="8"/>
        <v>4.8699434523585898</v>
      </c>
      <c r="G36" s="1">
        <f t="shared" si="8"/>
        <v>4.9929156271937485</v>
      </c>
      <c r="J36" s="15"/>
      <c r="K36" s="15" t="str">
        <f t="shared" si="12"/>
        <v>MinBio-08</v>
      </c>
      <c r="L36" s="15" t="str">
        <f t="shared" si="13"/>
        <v>Biomass Step - 08</v>
      </c>
      <c r="M36" s="15" t="s">
        <v>46</v>
      </c>
      <c r="N36" s="15" t="s">
        <v>47</v>
      </c>
      <c r="O36" s="15"/>
      <c r="P36" s="15"/>
      <c r="Q36" s="15"/>
      <c r="S36" t="str">
        <f t="shared" si="14"/>
        <v>MinBio-08</v>
      </c>
      <c r="U36" t="str">
        <f t="shared" si="15"/>
        <v>BIOCRP</v>
      </c>
      <c r="V36">
        <f t="shared" si="9"/>
        <v>5.0000000000000044E-2</v>
      </c>
      <c r="W36" s="13">
        <f t="shared" si="9"/>
        <v>4.75</v>
      </c>
      <c r="X36" s="13">
        <f t="shared" si="16"/>
        <v>5.0000000000000044E-2</v>
      </c>
      <c r="Y36" s="13"/>
    </row>
    <row r="37" spans="1:25" x14ac:dyDescent="0.25">
      <c r="A37" s="3" t="s">
        <v>20</v>
      </c>
      <c r="C37" s="9" t="str">
        <f t="shared" si="10"/>
        <v>MinBio-09</v>
      </c>
      <c r="D37">
        <f t="shared" si="11"/>
        <v>5.0000000000000044E-2</v>
      </c>
      <c r="E37" s="1">
        <f t="shared" si="8"/>
        <v>4.8333000000000004</v>
      </c>
      <c r="F37" s="1">
        <f t="shared" si="8"/>
        <v>4.9553468817441626</v>
      </c>
      <c r="G37" s="1">
        <f t="shared" si="8"/>
        <v>5.0804756001927469</v>
      </c>
      <c r="J37" s="15"/>
      <c r="K37" s="15" t="str">
        <f t="shared" si="12"/>
        <v>MinBio-09</v>
      </c>
      <c r="L37" s="15" t="str">
        <f t="shared" si="13"/>
        <v>Biomass Step - 09</v>
      </c>
      <c r="M37" s="15" t="s">
        <v>46</v>
      </c>
      <c r="N37" s="15" t="s">
        <v>47</v>
      </c>
      <c r="O37" s="15"/>
      <c r="P37" s="15"/>
      <c r="Q37" s="15"/>
      <c r="S37" t="str">
        <f t="shared" si="14"/>
        <v>MinBio-09</v>
      </c>
      <c r="U37" t="str">
        <f t="shared" si="15"/>
        <v>BIOCRP</v>
      </c>
      <c r="V37">
        <f t="shared" si="9"/>
        <v>5.0000000000000044E-2</v>
      </c>
      <c r="W37" s="13">
        <f t="shared" si="9"/>
        <v>4.8333000000000004</v>
      </c>
      <c r="X37" s="13">
        <f t="shared" si="16"/>
        <v>5.0000000000000044E-2</v>
      </c>
      <c r="Y37" s="13"/>
    </row>
    <row r="38" spans="1:25" x14ac:dyDescent="0.25">
      <c r="A38" s="3" t="s">
        <v>21</v>
      </c>
      <c r="C38" s="9" t="str">
        <f t="shared" si="10"/>
        <v>MinBio-10</v>
      </c>
      <c r="D38">
        <f t="shared" si="11"/>
        <v>5.0000000000000044E-2</v>
      </c>
      <c r="E38" s="1">
        <f t="shared" si="8"/>
        <v>4.9166999999999996</v>
      </c>
      <c r="F38" s="1">
        <f t="shared" si="8"/>
        <v>5.0408528362550475</v>
      </c>
      <c r="G38" s="1">
        <f t="shared" si="8"/>
        <v>5.1681406872049473</v>
      </c>
      <c r="J38" s="15"/>
      <c r="K38" s="15" t="str">
        <f t="shared" si="12"/>
        <v>MinBio-10</v>
      </c>
      <c r="L38" s="15" t="str">
        <f t="shared" si="13"/>
        <v>Biomass Step - 10</v>
      </c>
      <c r="M38" s="15" t="s">
        <v>46</v>
      </c>
      <c r="N38" s="15" t="s">
        <v>47</v>
      </c>
      <c r="O38" s="15"/>
      <c r="P38" s="15"/>
      <c r="Q38" s="15"/>
      <c r="S38" t="str">
        <f t="shared" si="14"/>
        <v>MinBio-10</v>
      </c>
      <c r="U38" t="str">
        <f t="shared" si="15"/>
        <v>BIOCRP</v>
      </c>
      <c r="V38">
        <f t="shared" si="9"/>
        <v>5.0000000000000044E-2</v>
      </c>
      <c r="W38" s="13">
        <f t="shared" si="9"/>
        <v>4.9166999999999996</v>
      </c>
      <c r="X38" s="13">
        <f t="shared" si="16"/>
        <v>5.0000000000000044E-2</v>
      </c>
      <c r="Y38" s="13"/>
    </row>
    <row r="39" spans="1:25" x14ac:dyDescent="0.25">
      <c r="A39" s="3" t="s">
        <v>22</v>
      </c>
      <c r="C39" s="9" t="str">
        <f t="shared" si="10"/>
        <v>MinBio-11</v>
      </c>
      <c r="D39" s="10">
        <f t="shared" si="11"/>
        <v>5.0000000000000044E-2</v>
      </c>
      <c r="E39" s="11">
        <f t="shared" si="8"/>
        <v>5</v>
      </c>
      <c r="F39" s="11">
        <f t="shared" si="8"/>
        <v>5.1262562656406203</v>
      </c>
      <c r="G39" s="11">
        <f t="shared" si="8"/>
        <v>5.2557006602039458</v>
      </c>
      <c r="J39" s="15"/>
      <c r="K39" s="15" t="str">
        <f t="shared" si="12"/>
        <v>MinBio-11</v>
      </c>
      <c r="L39" s="15" t="str">
        <f t="shared" si="13"/>
        <v>Biomass Step - 11</v>
      </c>
      <c r="M39" s="15" t="s">
        <v>46</v>
      </c>
      <c r="N39" s="15" t="s">
        <v>47</v>
      </c>
      <c r="O39" s="15"/>
      <c r="P39" s="15"/>
      <c r="Q39" s="15"/>
      <c r="S39" t="str">
        <f t="shared" si="14"/>
        <v>MinBio-11</v>
      </c>
      <c r="U39" t="str">
        <f t="shared" si="15"/>
        <v>BIOCRP</v>
      </c>
      <c r="V39">
        <f t="shared" si="9"/>
        <v>5.0000000000000044E-2</v>
      </c>
      <c r="W39" s="13">
        <f t="shared" si="9"/>
        <v>5</v>
      </c>
      <c r="X39" s="13">
        <f t="shared" si="16"/>
        <v>5.0000000000000044E-2</v>
      </c>
      <c r="Y39" s="13"/>
    </row>
    <row r="40" spans="1:25" x14ac:dyDescent="0.25">
      <c r="A40" s="3" t="s">
        <v>23</v>
      </c>
      <c r="C40" s="9" t="str">
        <f t="shared" si="10"/>
        <v>MinBio-12</v>
      </c>
      <c r="D40">
        <f t="shared" si="11"/>
        <v>0.19999999999999996</v>
      </c>
      <c r="E40" s="1">
        <f t="shared" si="8"/>
        <v>5.3333000000000004</v>
      </c>
      <c r="F40" s="1">
        <f t="shared" si="8"/>
        <v>5.4679725083082253</v>
      </c>
      <c r="G40" s="1">
        <f t="shared" si="8"/>
        <v>5.6060456662131415</v>
      </c>
      <c r="J40" s="15"/>
      <c r="K40" s="15" t="str">
        <f t="shared" si="12"/>
        <v>MinBio-12</v>
      </c>
      <c r="L40" s="15" t="str">
        <f t="shared" si="13"/>
        <v>Biomass Step - 12</v>
      </c>
      <c r="M40" s="15" t="s">
        <v>46</v>
      </c>
      <c r="N40" s="15" t="s">
        <v>47</v>
      </c>
      <c r="O40" s="15"/>
      <c r="P40" s="15"/>
      <c r="Q40" s="15"/>
      <c r="S40" t="str">
        <f t="shared" si="14"/>
        <v>MinBio-12</v>
      </c>
      <c r="U40" t="str">
        <f t="shared" si="15"/>
        <v>BIOCRP</v>
      </c>
      <c r="V40">
        <f t="shared" si="9"/>
        <v>0.19999999999999996</v>
      </c>
      <c r="W40" s="13">
        <f t="shared" si="9"/>
        <v>5.3333000000000004</v>
      </c>
      <c r="X40" s="13">
        <f t="shared" si="16"/>
        <v>0.19999999999999996</v>
      </c>
      <c r="Y40" s="13"/>
    </row>
    <row r="41" spans="1:25" x14ac:dyDescent="0.25">
      <c r="A41" s="3" t="s">
        <v>24</v>
      </c>
      <c r="C41" s="9" t="str">
        <f t="shared" si="10"/>
        <v>MinBio-13</v>
      </c>
      <c r="D41">
        <f t="shared" si="11"/>
        <v>0.19999999999999996</v>
      </c>
      <c r="E41" s="1">
        <f t="shared" si="8"/>
        <v>5.6923000000000004</v>
      </c>
      <c r="F41" s="1">
        <f t="shared" si="8"/>
        <v>5.8360377081812214</v>
      </c>
      <c r="G41" s="1">
        <f t="shared" si="8"/>
        <v>5.9834049736157846</v>
      </c>
      <c r="J41" s="15"/>
      <c r="K41" s="15" t="str">
        <f t="shared" si="12"/>
        <v>MinBio-13</v>
      </c>
      <c r="L41" s="15" t="str">
        <f t="shared" si="13"/>
        <v>Biomass Step - 13</v>
      </c>
      <c r="M41" s="15" t="s">
        <v>46</v>
      </c>
      <c r="N41" s="15" t="s">
        <v>47</v>
      </c>
      <c r="O41" s="15"/>
      <c r="P41" s="15"/>
      <c r="Q41" s="15"/>
      <c r="S41" t="str">
        <f t="shared" si="14"/>
        <v>MinBio-13</v>
      </c>
      <c r="U41" t="str">
        <f t="shared" si="15"/>
        <v>BIOCRP</v>
      </c>
      <c r="V41">
        <f t="shared" si="9"/>
        <v>0.19999999999999996</v>
      </c>
      <c r="W41" s="13">
        <f t="shared" si="9"/>
        <v>5.6923000000000004</v>
      </c>
      <c r="X41" s="13">
        <f t="shared" si="16"/>
        <v>0.19999999999999996</v>
      </c>
      <c r="Y41" s="13"/>
    </row>
    <row r="42" spans="1:25" x14ac:dyDescent="0.25">
      <c r="A42" s="3" t="s">
        <v>25</v>
      </c>
      <c r="C42" s="9" t="str">
        <f t="shared" si="10"/>
        <v>MinBio-14</v>
      </c>
      <c r="D42">
        <f t="shared" si="11"/>
        <v>0.19999999999999996</v>
      </c>
      <c r="E42" s="1">
        <f t="shared" si="8"/>
        <v>6.08</v>
      </c>
      <c r="F42" s="1">
        <f t="shared" si="8"/>
        <v>6.2335276190189948</v>
      </c>
      <c r="G42" s="1">
        <f t="shared" si="8"/>
        <v>6.3909320028079986</v>
      </c>
      <c r="J42" s="15"/>
      <c r="K42" s="15" t="str">
        <f t="shared" si="12"/>
        <v>MinBio-14</v>
      </c>
      <c r="L42" s="15" t="str">
        <f t="shared" si="13"/>
        <v>Biomass Step - 14</v>
      </c>
      <c r="M42" s="15" t="s">
        <v>46</v>
      </c>
      <c r="N42" s="15" t="s">
        <v>47</v>
      </c>
      <c r="O42" s="15"/>
      <c r="P42" s="15"/>
      <c r="Q42" s="15"/>
      <c r="S42" t="str">
        <f t="shared" si="14"/>
        <v>MinBio-14</v>
      </c>
      <c r="U42" t="str">
        <f t="shared" si="15"/>
        <v>BIOCRP</v>
      </c>
      <c r="V42">
        <f t="shared" si="9"/>
        <v>0.19999999999999996</v>
      </c>
      <c r="W42" s="13">
        <f t="shared" si="9"/>
        <v>6.08</v>
      </c>
      <c r="X42" s="13">
        <f t="shared" si="16"/>
        <v>0.19999999999999996</v>
      </c>
      <c r="Y42" s="13"/>
    </row>
    <row r="43" spans="1:25" x14ac:dyDescent="0.25">
      <c r="A43" s="3" t="s">
        <v>26</v>
      </c>
      <c r="C43" s="9" t="str">
        <f t="shared" si="10"/>
        <v>MinBio-15</v>
      </c>
      <c r="D43">
        <f t="shared" si="11"/>
        <v>0.19999999999999996</v>
      </c>
      <c r="E43" s="1">
        <f t="shared" si="8"/>
        <v>6.5</v>
      </c>
      <c r="F43" s="1">
        <f t="shared" si="8"/>
        <v>6.6641331453328068</v>
      </c>
      <c r="G43" s="1">
        <f t="shared" si="8"/>
        <v>6.8324108582651295</v>
      </c>
      <c r="J43" s="15"/>
      <c r="K43" s="15" t="str">
        <f t="shared" si="12"/>
        <v>MinBio-15</v>
      </c>
      <c r="L43" s="15" t="str">
        <f t="shared" si="13"/>
        <v>Biomass Step - 15</v>
      </c>
      <c r="M43" s="15" t="s">
        <v>46</v>
      </c>
      <c r="N43" s="15" t="s">
        <v>47</v>
      </c>
      <c r="O43" s="15"/>
      <c r="P43" s="15"/>
      <c r="Q43" s="15"/>
      <c r="S43" t="str">
        <f t="shared" si="14"/>
        <v>MinBio-15</v>
      </c>
      <c r="U43" t="str">
        <f t="shared" si="15"/>
        <v>BIOCRP</v>
      </c>
      <c r="V43">
        <f t="shared" si="9"/>
        <v>0.19999999999999996</v>
      </c>
      <c r="W43" s="13">
        <f t="shared" si="9"/>
        <v>6.5</v>
      </c>
      <c r="X43" s="13">
        <f t="shared" si="16"/>
        <v>0.19999999999999996</v>
      </c>
      <c r="Y43" s="13"/>
    </row>
    <row r="44" spans="1:25" x14ac:dyDescent="0.25">
      <c r="A44" s="3" t="s">
        <v>27</v>
      </c>
      <c r="C44" s="9" t="str">
        <f t="shared" si="10"/>
        <v>MinBio-16</v>
      </c>
      <c r="D44">
        <f t="shared" si="11"/>
        <v>0.19999999999999996</v>
      </c>
      <c r="E44" s="1">
        <f t="shared" ref="E44:G49" si="17">T17</f>
        <v>6.9565000000000001</v>
      </c>
      <c r="F44" s="1">
        <f t="shared" si="17"/>
        <v>7.132160342385796</v>
      </c>
      <c r="G44" s="1">
        <f t="shared" si="17"/>
        <v>7.3122563285417499</v>
      </c>
      <c r="J44" s="15"/>
      <c r="K44" s="15" t="str">
        <f t="shared" si="12"/>
        <v>MinBio-16</v>
      </c>
      <c r="L44" s="15" t="str">
        <f t="shared" si="13"/>
        <v>Biomass Step - 16</v>
      </c>
      <c r="M44" s="15" t="s">
        <v>46</v>
      </c>
      <c r="N44" s="15" t="s">
        <v>47</v>
      </c>
      <c r="O44" s="15"/>
      <c r="P44" s="15"/>
      <c r="Q44" s="15"/>
      <c r="S44" t="str">
        <f t="shared" si="14"/>
        <v>MinBio-16</v>
      </c>
      <c r="U44" t="str">
        <f t="shared" si="15"/>
        <v>BIOCRP</v>
      </c>
      <c r="V44">
        <f t="shared" si="9"/>
        <v>0.19999999999999996</v>
      </c>
      <c r="W44" s="13">
        <f t="shared" si="9"/>
        <v>6.9565000000000001</v>
      </c>
      <c r="X44" s="13">
        <f t="shared" si="16"/>
        <v>0.19999999999999996</v>
      </c>
      <c r="Y44" s="13"/>
    </row>
    <row r="45" spans="1:25" x14ac:dyDescent="0.25">
      <c r="A45" s="3" t="s">
        <v>28</v>
      </c>
      <c r="C45" s="9" t="str">
        <f t="shared" si="10"/>
        <v>MinBio-17</v>
      </c>
      <c r="D45">
        <f t="shared" si="11"/>
        <v>0.19999999999999996</v>
      </c>
      <c r="E45" s="1">
        <f t="shared" si="17"/>
        <v>7.4545000000000003</v>
      </c>
      <c r="F45" s="1">
        <f t="shared" si="17"/>
        <v>7.642735466443602</v>
      </c>
      <c r="G45" s="1">
        <f t="shared" si="17"/>
        <v>7.8357241142980634</v>
      </c>
      <c r="J45" s="15"/>
      <c r="K45" s="15" t="str">
        <f t="shared" si="12"/>
        <v>MinBio-17</v>
      </c>
      <c r="L45" s="15" t="str">
        <f t="shared" si="13"/>
        <v>Biomass Step - 17</v>
      </c>
      <c r="M45" s="15" t="s">
        <v>46</v>
      </c>
      <c r="N45" s="15" t="s">
        <v>47</v>
      </c>
      <c r="O45" s="15"/>
      <c r="P45" s="15"/>
      <c r="Q45" s="15"/>
      <c r="S45" t="str">
        <f t="shared" si="14"/>
        <v>MinBio-17</v>
      </c>
      <c r="U45" t="str">
        <f t="shared" si="15"/>
        <v>BIOCRP</v>
      </c>
      <c r="V45">
        <f t="shared" si="9"/>
        <v>0.19999999999999996</v>
      </c>
      <c r="W45" s="13">
        <f t="shared" si="9"/>
        <v>7.4545000000000003</v>
      </c>
      <c r="X45" s="13">
        <f t="shared" si="16"/>
        <v>0.19999999999999996</v>
      </c>
      <c r="Y45" s="13"/>
    </row>
    <row r="46" spans="1:25" x14ac:dyDescent="0.25">
      <c r="A46" s="3" t="s">
        <v>29</v>
      </c>
      <c r="C46" s="9" t="str">
        <f t="shared" si="10"/>
        <v>MinBio-18</v>
      </c>
      <c r="D46">
        <f t="shared" si="11"/>
        <v>0.20000000000000018</v>
      </c>
      <c r="E46" s="1">
        <f t="shared" si="17"/>
        <v>8</v>
      </c>
      <c r="F46" s="1">
        <f t="shared" si="17"/>
        <v>8.2020100250249932</v>
      </c>
      <c r="G46" s="1">
        <f t="shared" si="17"/>
        <v>8.4091210563263132</v>
      </c>
      <c r="J46" s="15"/>
      <c r="K46" s="15" t="str">
        <f t="shared" si="12"/>
        <v>MinBio-18</v>
      </c>
      <c r="L46" s="15" t="str">
        <f t="shared" si="13"/>
        <v>Biomass Step - 18</v>
      </c>
      <c r="M46" s="15" t="s">
        <v>46</v>
      </c>
      <c r="N46" s="15" t="s">
        <v>47</v>
      </c>
      <c r="O46" s="15"/>
      <c r="P46" s="15"/>
      <c r="Q46" s="15"/>
      <c r="S46" t="str">
        <f t="shared" si="14"/>
        <v>MinBio-18</v>
      </c>
      <c r="U46" t="str">
        <f t="shared" si="15"/>
        <v>BIOCRP</v>
      </c>
      <c r="V46">
        <f t="shared" si="9"/>
        <v>0.20000000000000018</v>
      </c>
      <c r="W46" s="13">
        <f t="shared" si="9"/>
        <v>8</v>
      </c>
      <c r="X46" s="13">
        <f t="shared" si="16"/>
        <v>0.20000000000000018</v>
      </c>
      <c r="Y46" s="13"/>
    </row>
    <row r="47" spans="1:25" x14ac:dyDescent="0.25">
      <c r="A47" s="3" t="s">
        <v>30</v>
      </c>
      <c r="C47" s="9" t="str">
        <f t="shared" si="10"/>
        <v>MinBio-19</v>
      </c>
      <c r="D47">
        <f t="shared" si="11"/>
        <v>0.20000000000000018</v>
      </c>
      <c r="E47" s="1">
        <f t="shared" si="17"/>
        <v>8.6</v>
      </c>
      <c r="F47" s="1">
        <f t="shared" si="17"/>
        <v>8.8171607769018667</v>
      </c>
      <c r="G47" s="1">
        <f t="shared" si="17"/>
        <v>9.039805135550786</v>
      </c>
      <c r="J47" s="15"/>
      <c r="K47" s="15" t="str">
        <f t="shared" si="12"/>
        <v>MinBio-19</v>
      </c>
      <c r="L47" s="15" t="str">
        <f t="shared" si="13"/>
        <v>Biomass Step - 19</v>
      </c>
      <c r="M47" s="15" t="s">
        <v>46</v>
      </c>
      <c r="N47" s="15" t="s">
        <v>47</v>
      </c>
      <c r="O47" s="15"/>
      <c r="P47" s="15"/>
      <c r="Q47" s="15"/>
      <c r="S47" t="str">
        <f t="shared" si="14"/>
        <v>MinBio-19</v>
      </c>
      <c r="U47" t="str">
        <f t="shared" si="15"/>
        <v>BIOCRP</v>
      </c>
      <c r="V47">
        <f t="shared" si="9"/>
        <v>0.20000000000000018</v>
      </c>
      <c r="W47" s="13">
        <f t="shared" si="9"/>
        <v>8.6</v>
      </c>
      <c r="X47" s="13">
        <f t="shared" si="16"/>
        <v>0.20000000000000018</v>
      </c>
      <c r="Y47" s="13"/>
    </row>
    <row r="48" spans="1:25" x14ac:dyDescent="0.25">
      <c r="A48" s="3" t="s">
        <v>31</v>
      </c>
      <c r="C48" s="9" t="str">
        <f t="shared" si="10"/>
        <v>MinBio-20</v>
      </c>
      <c r="D48">
        <f t="shared" si="11"/>
        <v>0.20000000000000018</v>
      </c>
      <c r="E48" s="1">
        <f t="shared" si="17"/>
        <v>9.2631999999999994</v>
      </c>
      <c r="F48" s="1">
        <f t="shared" si="17"/>
        <v>9.4971074079764399</v>
      </c>
      <c r="G48" s="1">
        <f t="shared" si="17"/>
        <v>9.736921271120238</v>
      </c>
      <c r="J48" s="15"/>
      <c r="K48" s="15" t="str">
        <f t="shared" si="12"/>
        <v>MinBio-20</v>
      </c>
      <c r="L48" s="15" t="str">
        <f t="shared" si="13"/>
        <v>Biomass Step - 20</v>
      </c>
      <c r="M48" s="15" t="s">
        <v>46</v>
      </c>
      <c r="N48" s="15" t="s">
        <v>47</v>
      </c>
      <c r="O48" s="15"/>
      <c r="P48" s="15"/>
      <c r="Q48" s="15"/>
      <c r="S48" t="str">
        <f t="shared" si="14"/>
        <v>MinBio-20</v>
      </c>
      <c r="U48" t="str">
        <f t="shared" si="15"/>
        <v>BIOCRP</v>
      </c>
      <c r="V48">
        <f t="shared" si="9"/>
        <v>0.20000000000000018</v>
      </c>
      <c r="W48" s="13">
        <f t="shared" si="9"/>
        <v>9.2631999999999994</v>
      </c>
      <c r="X48" s="13">
        <f t="shared" si="16"/>
        <v>0.20000000000000018</v>
      </c>
      <c r="Y48" s="13"/>
    </row>
    <row r="49" spans="1:25" x14ac:dyDescent="0.25">
      <c r="A49" s="3" t="s">
        <v>32</v>
      </c>
      <c r="C49" s="9" t="str">
        <f t="shared" si="10"/>
        <v>MinBio-21</v>
      </c>
      <c r="D49">
        <f t="shared" si="11"/>
        <v>0.20000000000000018</v>
      </c>
      <c r="E49" s="1">
        <f t="shared" si="17"/>
        <v>10</v>
      </c>
      <c r="F49" s="1">
        <f t="shared" si="17"/>
        <v>10.252512531281241</v>
      </c>
      <c r="G49" s="1">
        <f t="shared" si="17"/>
        <v>10.511401320407892</v>
      </c>
      <c r="J49" s="15"/>
      <c r="K49" s="15" t="str">
        <f t="shared" si="12"/>
        <v>MinBio-21</v>
      </c>
      <c r="L49" s="15" t="str">
        <f t="shared" si="13"/>
        <v>Biomass Step - 21</v>
      </c>
      <c r="M49" s="15" t="s">
        <v>46</v>
      </c>
      <c r="N49" s="15" t="s">
        <v>47</v>
      </c>
      <c r="O49" s="15"/>
      <c r="P49" s="15"/>
      <c r="Q49" s="15"/>
      <c r="S49" t="str">
        <f t="shared" si="14"/>
        <v>MinBio-21</v>
      </c>
      <c r="U49" t="str">
        <f t="shared" si="15"/>
        <v>BIOCRP</v>
      </c>
      <c r="V49">
        <f t="shared" si="9"/>
        <v>0.20000000000000018</v>
      </c>
      <c r="W49" s="13">
        <f t="shared" si="9"/>
        <v>10</v>
      </c>
      <c r="X49" s="13"/>
      <c r="Y49" s="13"/>
    </row>
  </sheetData>
  <mergeCells count="3">
    <mergeCell ref="B7:B9"/>
    <mergeCell ref="B10:B12"/>
    <mergeCell ref="E27:G27"/>
  </mergeCells>
  <pageMargins left="0.7" right="0.7" top="0.75" bottom="0.75" header="0.3" footer="0.3"/>
  <pageSetup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49"/>
  <sheetViews>
    <sheetView workbookViewId="0">
      <selection activeCell="D10" sqref="D10"/>
    </sheetView>
  </sheetViews>
  <sheetFormatPr defaultColWidth="8.85546875" defaultRowHeight="15" x14ac:dyDescent="0.25"/>
  <cols>
    <col min="1" max="1" width="20.7109375" bestFit="1" customWidth="1"/>
    <col min="2" max="2" width="3.42578125" bestFit="1" customWidth="1"/>
    <col min="3" max="3" width="16.28515625" bestFit="1" customWidth="1"/>
    <col min="4" max="4" width="9.28515625" bestFit="1" customWidth="1"/>
    <col min="5" max="5" width="6.85546875" bestFit="1" customWidth="1"/>
    <col min="6" max="6" width="8.85546875" bestFit="1" customWidth="1"/>
    <col min="7" max="7" width="9.85546875" bestFit="1" customWidth="1"/>
    <col min="8" max="10" width="8.85546875" customWidth="1"/>
    <col min="11" max="11" width="10.7109375" bestFit="1" customWidth="1"/>
  </cols>
  <sheetData>
    <row r="1" spans="1:38" x14ac:dyDescent="0.25">
      <c r="A1" s="12" t="s">
        <v>76</v>
      </c>
      <c r="T1" s="18">
        <f>'Gas-Min'!$T$1</f>
        <v>2010</v>
      </c>
      <c r="U1" s="18">
        <f>'Gas-Min'!$U$1</f>
        <v>2020</v>
      </c>
      <c r="V1" s="18">
        <f>'Gas-Min'!$V$1</f>
        <v>2030</v>
      </c>
    </row>
    <row r="2" spans="1:38" x14ac:dyDescent="0.25">
      <c r="A2" s="12" t="s">
        <v>51</v>
      </c>
      <c r="C2" s="7" t="s">
        <v>49</v>
      </c>
      <c r="D2" t="s">
        <v>8</v>
      </c>
      <c r="E2" t="s">
        <v>9</v>
      </c>
      <c r="R2">
        <f t="shared" ref="R2:R10" si="0">R3+($E$10-$D$10)/($D$12-1)</f>
        <v>0.50000000000000011</v>
      </c>
      <c r="S2">
        <f t="shared" ref="S2:S11" si="1">S3-$D$11</f>
        <v>0.49999999999999961</v>
      </c>
      <c r="T2" s="13">
        <f t="shared" ref="T2:T11" si="2">ROUND((S2-$S$12)/$S$12/R2*$T$12+$T$12,4)</f>
        <v>0</v>
      </c>
      <c r="U2" s="13">
        <f>T2*(1+$D$14)^(U$1-$T$1)</f>
        <v>0</v>
      </c>
      <c r="V2" s="13">
        <f>T2*(1+$D$14)^(V$1-$T$1)</f>
        <v>0</v>
      </c>
      <c r="Y2" s="10"/>
      <c r="Z2" s="10"/>
      <c r="AA2" s="10"/>
      <c r="AB2" s="10"/>
      <c r="AC2" s="10" t="s">
        <v>61</v>
      </c>
      <c r="AD2" s="10"/>
      <c r="AE2" s="10"/>
      <c r="AF2" s="10"/>
      <c r="AG2" s="10"/>
      <c r="AH2" s="10"/>
      <c r="AI2" s="10"/>
      <c r="AJ2" s="10"/>
    </row>
    <row r="3" spans="1:38" x14ac:dyDescent="0.25">
      <c r="D3" s="17">
        <v>1</v>
      </c>
      <c r="E3" s="4">
        <v>1</v>
      </c>
      <c r="R3">
        <f t="shared" si="0"/>
        <v>0.48888888888888904</v>
      </c>
      <c r="S3">
        <f t="shared" si="1"/>
        <v>0.5499999999999996</v>
      </c>
      <c r="T3" s="13">
        <f t="shared" si="2"/>
        <v>7.9500000000000001E-2</v>
      </c>
      <c r="U3" s="13">
        <f t="shared" ref="U3:U22" si="3">T3*(1+$D$14)^(U$1-$T$1)</f>
        <v>9.1538373369029882E-2</v>
      </c>
      <c r="V3" s="13">
        <f t="shared" ref="V3:V22" si="4">T3*(1+$D$14)^(V$1-$T$1)</f>
        <v>0.10539967042827572</v>
      </c>
      <c r="Y3" s="10"/>
      <c r="Z3" s="10"/>
      <c r="AA3" s="10"/>
      <c r="AB3" s="10" t="s">
        <v>62</v>
      </c>
      <c r="AC3" s="10"/>
      <c r="AD3" s="10"/>
      <c r="AE3" s="10" t="s">
        <v>63</v>
      </c>
      <c r="AF3" s="10"/>
      <c r="AG3" s="10"/>
      <c r="AH3" s="10" t="s">
        <v>64</v>
      </c>
      <c r="AI3" s="10"/>
      <c r="AJ3" s="10"/>
    </row>
    <row r="4" spans="1:38" x14ac:dyDescent="0.25">
      <c r="R4">
        <f t="shared" si="0"/>
        <v>0.47777777777777791</v>
      </c>
      <c r="S4">
        <f t="shared" si="1"/>
        <v>0.59999999999999964</v>
      </c>
      <c r="T4" s="13">
        <f t="shared" si="2"/>
        <v>0.1628</v>
      </c>
      <c r="U4" s="13">
        <f t="shared" si="3"/>
        <v>0.18745216584249139</v>
      </c>
      <c r="V4" s="13">
        <f t="shared" si="4"/>
        <v>0.21583731252482122</v>
      </c>
      <c r="Y4" s="10"/>
      <c r="Z4" s="10"/>
      <c r="AA4" s="10">
        <v>2013</v>
      </c>
      <c r="AB4" s="10">
        <v>2020</v>
      </c>
      <c r="AC4" s="10">
        <v>2030</v>
      </c>
      <c r="AD4" s="10">
        <v>2040</v>
      </c>
      <c r="AE4" s="10">
        <v>2020</v>
      </c>
      <c r="AF4" s="10">
        <v>2030</v>
      </c>
      <c r="AG4" s="10">
        <v>2040</v>
      </c>
      <c r="AH4" s="10">
        <v>2020</v>
      </c>
      <c r="AI4" s="10">
        <v>2030</v>
      </c>
      <c r="AJ4" s="10">
        <v>2040</v>
      </c>
    </row>
    <row r="5" spans="1:38" x14ac:dyDescent="0.25">
      <c r="R5">
        <f t="shared" si="0"/>
        <v>0.46666666666666679</v>
      </c>
      <c r="S5">
        <f t="shared" si="1"/>
        <v>0.64999999999999969</v>
      </c>
      <c r="T5" s="13">
        <f t="shared" si="2"/>
        <v>0.25</v>
      </c>
      <c r="U5" s="13">
        <f t="shared" si="3"/>
        <v>0.28785652002839585</v>
      </c>
      <c r="V5" s="13">
        <f t="shared" si="4"/>
        <v>0.33144550449143306</v>
      </c>
      <c r="Y5" s="10" t="s">
        <v>65</v>
      </c>
      <c r="Z5" s="10" t="s">
        <v>66</v>
      </c>
      <c r="AA5" s="10">
        <v>106</v>
      </c>
      <c r="AB5" s="10">
        <v>112</v>
      </c>
      <c r="AC5" s="10">
        <v>123</v>
      </c>
      <c r="AD5" s="10">
        <v>132</v>
      </c>
      <c r="AE5" s="10">
        <v>116</v>
      </c>
      <c r="AF5" s="10">
        <v>139</v>
      </c>
      <c r="AG5" s="10">
        <v>155</v>
      </c>
      <c r="AH5" s="10">
        <v>105</v>
      </c>
      <c r="AI5" s="10">
        <v>102</v>
      </c>
      <c r="AJ5" s="10">
        <v>100</v>
      </c>
      <c r="AL5">
        <f>1/5.86152</f>
        <v>0.17060421187678282</v>
      </c>
    </row>
    <row r="6" spans="1:38" x14ac:dyDescent="0.25">
      <c r="D6" s="2" t="s">
        <v>10</v>
      </c>
      <c r="E6" s="2" t="s">
        <v>11</v>
      </c>
      <c r="R6">
        <f t="shared" si="0"/>
        <v>0.45555555555555566</v>
      </c>
      <c r="S6">
        <f t="shared" si="1"/>
        <v>0.69999999999999973</v>
      </c>
      <c r="T6" s="13">
        <f t="shared" si="2"/>
        <v>0.34150000000000003</v>
      </c>
      <c r="U6" s="13">
        <f t="shared" si="3"/>
        <v>0.39321200635878878</v>
      </c>
      <c r="V6" s="13">
        <f t="shared" si="4"/>
        <v>0.45275455913529761</v>
      </c>
      <c r="Y6" s="10" t="s">
        <v>67</v>
      </c>
      <c r="Z6" s="10" t="s">
        <v>68</v>
      </c>
      <c r="AA6" s="10">
        <v>10.6</v>
      </c>
      <c r="AB6" s="10">
        <v>11.1</v>
      </c>
      <c r="AC6" s="10">
        <v>12.1</v>
      </c>
      <c r="AD6" s="10">
        <v>12.7</v>
      </c>
      <c r="AE6" s="10">
        <v>11.5</v>
      </c>
      <c r="AF6" s="10">
        <v>13.2</v>
      </c>
      <c r="AG6" s="10">
        <v>14</v>
      </c>
      <c r="AH6" s="10">
        <v>10.5</v>
      </c>
      <c r="AI6" s="10">
        <v>10</v>
      </c>
      <c r="AJ6" s="10">
        <v>9.1999999999999993</v>
      </c>
      <c r="AL6">
        <f>1/1.055055</f>
        <v>0.94781788627133179</v>
      </c>
    </row>
    <row r="7" spans="1:38" x14ac:dyDescent="0.25">
      <c r="B7" s="25" t="s">
        <v>0</v>
      </c>
      <c r="C7" t="s">
        <v>2</v>
      </c>
      <c r="D7" s="4">
        <v>20</v>
      </c>
      <c r="E7" s="4">
        <v>20</v>
      </c>
      <c r="R7">
        <f t="shared" si="0"/>
        <v>0.44444444444444453</v>
      </c>
      <c r="S7">
        <f t="shared" si="1"/>
        <v>0.74999999999999978</v>
      </c>
      <c r="T7" s="13">
        <f t="shared" si="2"/>
        <v>0.4375</v>
      </c>
      <c r="U7" s="13">
        <f t="shared" si="3"/>
        <v>0.50374891004969269</v>
      </c>
      <c r="V7" s="13">
        <f t="shared" si="4"/>
        <v>0.58002963286000786</v>
      </c>
      <c r="Y7" s="10" t="s">
        <v>69</v>
      </c>
      <c r="Z7" s="10" t="s">
        <v>70</v>
      </c>
      <c r="AA7" s="10">
        <v>86</v>
      </c>
      <c r="AB7" s="10">
        <v>101</v>
      </c>
      <c r="AC7" s="10">
        <v>108</v>
      </c>
      <c r="AD7" s="10">
        <v>112</v>
      </c>
      <c r="AE7" s="10">
        <v>107</v>
      </c>
      <c r="AF7" s="10">
        <v>117</v>
      </c>
      <c r="AG7" s="10">
        <v>124</v>
      </c>
      <c r="AH7" s="10">
        <v>88</v>
      </c>
      <c r="AI7" s="10">
        <v>78</v>
      </c>
      <c r="AJ7" s="10">
        <v>77</v>
      </c>
      <c r="AL7">
        <f>1/29.288</f>
        <v>3.414367659109533E-2</v>
      </c>
    </row>
    <row r="8" spans="1:38" x14ac:dyDescent="0.25">
      <c r="B8" s="25"/>
      <c r="C8" t="s">
        <v>6</v>
      </c>
      <c r="D8" s="4">
        <f>E3</f>
        <v>1</v>
      </c>
      <c r="R8">
        <f t="shared" si="0"/>
        <v>0.4333333333333334</v>
      </c>
      <c r="S8">
        <f t="shared" si="1"/>
        <v>0.79999999999999982</v>
      </c>
      <c r="T8" s="13">
        <f t="shared" si="2"/>
        <v>0.53849999999999998</v>
      </c>
      <c r="U8" s="13">
        <f t="shared" si="3"/>
        <v>0.62004294414116468</v>
      </c>
      <c r="V8" s="13">
        <f t="shared" si="4"/>
        <v>0.7139336166745468</v>
      </c>
    </row>
    <row r="9" spans="1:38" x14ac:dyDescent="0.25">
      <c r="B9" s="25"/>
      <c r="C9" t="s">
        <v>1</v>
      </c>
      <c r="D9" s="4">
        <v>10</v>
      </c>
      <c r="R9">
        <f t="shared" si="0"/>
        <v>0.42222222222222228</v>
      </c>
      <c r="S9">
        <f t="shared" si="1"/>
        <v>0.84999999999999987</v>
      </c>
      <c r="T9" s="13">
        <f t="shared" si="2"/>
        <v>0.64470000000000005</v>
      </c>
      <c r="U9" s="13">
        <f t="shared" si="3"/>
        <v>0.74232439384922722</v>
      </c>
      <c r="V9" s="13">
        <f t="shared" si="4"/>
        <v>0.85473166698250769</v>
      </c>
      <c r="Y9" s="10" t="s">
        <v>71</v>
      </c>
      <c r="Z9">
        <v>0.75</v>
      </c>
    </row>
    <row r="10" spans="1:38" x14ac:dyDescent="0.25">
      <c r="B10" s="25" t="s">
        <v>3</v>
      </c>
      <c r="C10" t="s">
        <v>2</v>
      </c>
      <c r="D10" s="4">
        <v>0.4</v>
      </c>
      <c r="E10" s="4">
        <v>0.5</v>
      </c>
      <c r="R10">
        <f t="shared" si="0"/>
        <v>0.41111111111111115</v>
      </c>
      <c r="S10">
        <f t="shared" si="1"/>
        <v>0.89999999999999991</v>
      </c>
      <c r="T10" s="13">
        <f t="shared" si="2"/>
        <v>0.75680000000000003</v>
      </c>
      <c r="U10" s="13">
        <f t="shared" si="3"/>
        <v>0.87139925742995994</v>
      </c>
      <c r="V10" s="13">
        <f t="shared" si="4"/>
        <v>1.0033518311964662</v>
      </c>
      <c r="AA10">
        <f>AA4</f>
        <v>2013</v>
      </c>
      <c r="AB10">
        <f>AE4</f>
        <v>2020</v>
      </c>
      <c r="AC10">
        <f>AF4</f>
        <v>2030</v>
      </c>
      <c r="AD10">
        <f>AG4</f>
        <v>2040</v>
      </c>
      <c r="AE10" s="16" t="s">
        <v>72</v>
      </c>
    </row>
    <row r="11" spans="1:38" x14ac:dyDescent="0.25">
      <c r="B11" s="25"/>
      <c r="C11" t="s">
        <v>6</v>
      </c>
      <c r="D11" s="4">
        <v>0.05</v>
      </c>
      <c r="R11">
        <f>D10</f>
        <v>0.4</v>
      </c>
      <c r="S11">
        <f t="shared" si="1"/>
        <v>0.95</v>
      </c>
      <c r="T11" s="13">
        <f t="shared" si="2"/>
        <v>0.875</v>
      </c>
      <c r="U11" s="13">
        <f t="shared" si="3"/>
        <v>1.0074978200993854</v>
      </c>
      <c r="V11" s="13">
        <f t="shared" si="4"/>
        <v>1.1600592657200157</v>
      </c>
      <c r="Z11" t="s">
        <v>51</v>
      </c>
      <c r="AA11" s="13">
        <f>AA5*$AL5*$Z$9</f>
        <v>13.563034844204234</v>
      </c>
      <c r="AB11" s="13">
        <f t="shared" ref="AB11:AD13" si="5">AE5*$AL5*$Z$9</f>
        <v>14.842566433280105</v>
      </c>
      <c r="AC11" s="13">
        <f t="shared" si="5"/>
        <v>17.785489088154609</v>
      </c>
      <c r="AD11" s="13">
        <f t="shared" si="5"/>
        <v>19.832739630676002</v>
      </c>
      <c r="AE11" s="16">
        <v>1.42</v>
      </c>
      <c r="AF11">
        <f>AA11*(1+AE11/100)^(2040-2013)</f>
        <v>19.846971461175013</v>
      </c>
    </row>
    <row r="12" spans="1:38" x14ac:dyDescent="0.25">
      <c r="B12" s="25"/>
      <c r="C12" t="s">
        <v>1</v>
      </c>
      <c r="D12" s="4">
        <v>10</v>
      </c>
      <c r="S12">
        <f>E3</f>
        <v>1</v>
      </c>
      <c r="T12" s="13">
        <f>D3</f>
        <v>1</v>
      </c>
      <c r="U12" s="13">
        <f t="shared" si="3"/>
        <v>1.1514260801135834</v>
      </c>
      <c r="V12" s="13">
        <f t="shared" si="4"/>
        <v>1.3257820179657323</v>
      </c>
      <c r="Z12" t="s">
        <v>50</v>
      </c>
      <c r="AA12" s="13">
        <f>AA6*$AL6*$Z$9</f>
        <v>7.535152195857088</v>
      </c>
      <c r="AB12" s="13">
        <f t="shared" si="5"/>
        <v>8.1749292690902369</v>
      </c>
      <c r="AC12" s="13">
        <f t="shared" si="5"/>
        <v>9.383397074086183</v>
      </c>
      <c r="AD12" s="13">
        <f t="shared" si="5"/>
        <v>9.9520878058489846</v>
      </c>
      <c r="AE12" s="16">
        <v>1.03</v>
      </c>
      <c r="AF12">
        <f>AA12*(1+AE12/100)^(2040-2013)</f>
        <v>9.9369146448978949</v>
      </c>
    </row>
    <row r="13" spans="1:38" x14ac:dyDescent="0.25">
      <c r="R13">
        <f>D7</f>
        <v>20</v>
      </c>
      <c r="S13">
        <f t="shared" ref="S13:S22" si="6">S12+$D$8</f>
        <v>2</v>
      </c>
      <c r="T13" s="13">
        <f t="shared" ref="T13:T22" si="7">ROUND((S13-$S$12)/$S$12/R13*$T$12+$T$12,4)</f>
        <v>1.05</v>
      </c>
      <c r="U13" s="13">
        <f t="shared" si="3"/>
        <v>1.2089973841192625</v>
      </c>
      <c r="V13" s="13">
        <f t="shared" si="4"/>
        <v>1.3920711188640189</v>
      </c>
      <c r="Z13" t="s">
        <v>52</v>
      </c>
      <c r="AA13" s="13">
        <f>AA7*$AL7*$Z$9</f>
        <v>2.2022671401256488</v>
      </c>
      <c r="AB13" s="13">
        <f t="shared" si="5"/>
        <v>2.7400300464354004</v>
      </c>
      <c r="AC13" s="13">
        <f t="shared" si="5"/>
        <v>2.9961076208686155</v>
      </c>
      <c r="AD13" s="13">
        <f t="shared" si="5"/>
        <v>3.1753619229718657</v>
      </c>
      <c r="AE13" s="16">
        <v>1.38</v>
      </c>
      <c r="AF13">
        <f>AA13*(1+AE13/100)^(2040-2013)</f>
        <v>3.188465665542016</v>
      </c>
    </row>
    <row r="14" spans="1:38" x14ac:dyDescent="0.25">
      <c r="C14" t="s">
        <v>7</v>
      </c>
      <c r="D14" s="14">
        <f>AE11/100</f>
        <v>1.4199999999999999E-2</v>
      </c>
      <c r="R14">
        <f t="shared" ref="R14:R22" si="8">R13+($E$7-$D$7)/($D$9-1)</f>
        <v>20</v>
      </c>
      <c r="S14">
        <f t="shared" si="6"/>
        <v>3</v>
      </c>
      <c r="T14" s="13">
        <f t="shared" si="7"/>
        <v>1.1000000000000001</v>
      </c>
      <c r="U14" s="13">
        <f t="shared" si="3"/>
        <v>1.2665686881249418</v>
      </c>
      <c r="V14" s="13">
        <f t="shared" si="4"/>
        <v>1.4583602197623056</v>
      </c>
    </row>
    <row r="15" spans="1:38" x14ac:dyDescent="0.25">
      <c r="R15">
        <f t="shared" si="8"/>
        <v>20</v>
      </c>
      <c r="S15">
        <f t="shared" si="6"/>
        <v>4</v>
      </c>
      <c r="T15" s="13">
        <f t="shared" si="7"/>
        <v>1.1499999999999999</v>
      </c>
      <c r="U15" s="13">
        <f t="shared" si="3"/>
        <v>1.3241399921306207</v>
      </c>
      <c r="V15" s="13">
        <f t="shared" si="4"/>
        <v>1.524649320660592</v>
      </c>
    </row>
    <row r="16" spans="1:38" x14ac:dyDescent="0.25">
      <c r="R16">
        <f t="shared" si="8"/>
        <v>20</v>
      </c>
      <c r="S16">
        <f t="shared" si="6"/>
        <v>5</v>
      </c>
      <c r="T16" s="13">
        <f t="shared" si="7"/>
        <v>1.2</v>
      </c>
      <c r="U16" s="13">
        <f t="shared" si="3"/>
        <v>1.3817112961363001</v>
      </c>
      <c r="V16" s="13">
        <f t="shared" si="4"/>
        <v>1.5909384215588787</v>
      </c>
    </row>
    <row r="17" spans="1:25" x14ac:dyDescent="0.25">
      <c r="R17">
        <f t="shared" si="8"/>
        <v>20</v>
      </c>
      <c r="S17">
        <f t="shared" si="6"/>
        <v>6</v>
      </c>
      <c r="T17" s="13">
        <f t="shared" si="7"/>
        <v>1.25</v>
      </c>
      <c r="U17" s="13">
        <f t="shared" si="3"/>
        <v>1.4392826001419792</v>
      </c>
      <c r="V17" s="13">
        <f t="shared" si="4"/>
        <v>1.6572275224571653</v>
      </c>
    </row>
    <row r="18" spans="1:25" x14ac:dyDescent="0.25">
      <c r="R18">
        <f t="shared" si="8"/>
        <v>20</v>
      </c>
      <c r="S18">
        <f t="shared" si="6"/>
        <v>7</v>
      </c>
      <c r="T18" s="13">
        <f t="shared" si="7"/>
        <v>1.3</v>
      </c>
      <c r="U18" s="13">
        <f t="shared" si="3"/>
        <v>1.4968539041476585</v>
      </c>
      <c r="V18" s="13">
        <f t="shared" si="4"/>
        <v>1.723516623355452</v>
      </c>
    </row>
    <row r="19" spans="1:25" x14ac:dyDescent="0.25">
      <c r="R19">
        <f t="shared" si="8"/>
        <v>20</v>
      </c>
      <c r="S19">
        <f t="shared" si="6"/>
        <v>8</v>
      </c>
      <c r="T19" s="13">
        <f t="shared" si="7"/>
        <v>1.35</v>
      </c>
      <c r="U19" s="13">
        <f t="shared" si="3"/>
        <v>1.5544252081533376</v>
      </c>
      <c r="V19" s="13">
        <f t="shared" si="4"/>
        <v>1.7898057242537386</v>
      </c>
    </row>
    <row r="20" spans="1:25" x14ac:dyDescent="0.25">
      <c r="R20">
        <f t="shared" si="8"/>
        <v>20</v>
      </c>
      <c r="S20">
        <f t="shared" si="6"/>
        <v>9</v>
      </c>
      <c r="T20" s="13">
        <f t="shared" si="7"/>
        <v>1.4</v>
      </c>
      <c r="U20" s="13">
        <f t="shared" si="3"/>
        <v>1.6119965121590167</v>
      </c>
      <c r="V20" s="13">
        <f t="shared" si="4"/>
        <v>1.8560948251520251</v>
      </c>
    </row>
    <row r="21" spans="1:25" x14ac:dyDescent="0.25">
      <c r="R21">
        <f t="shared" si="8"/>
        <v>20</v>
      </c>
      <c r="S21">
        <f t="shared" si="6"/>
        <v>10</v>
      </c>
      <c r="T21" s="13">
        <f t="shared" si="7"/>
        <v>1.45</v>
      </c>
      <c r="U21" s="13">
        <f t="shared" si="3"/>
        <v>1.6695678161646959</v>
      </c>
      <c r="V21" s="13">
        <f t="shared" si="4"/>
        <v>1.9223839260503117</v>
      </c>
    </row>
    <row r="22" spans="1:25" x14ac:dyDescent="0.25">
      <c r="R22">
        <f t="shared" si="8"/>
        <v>20</v>
      </c>
      <c r="S22">
        <f t="shared" si="6"/>
        <v>11</v>
      </c>
      <c r="T22" s="13">
        <f t="shared" si="7"/>
        <v>1.5</v>
      </c>
      <c r="U22" s="13">
        <f t="shared" si="3"/>
        <v>1.7271391201703752</v>
      </c>
      <c r="V22" s="13">
        <f t="shared" si="4"/>
        <v>1.9886730269485984</v>
      </c>
    </row>
    <row r="27" spans="1:25" x14ac:dyDescent="0.25">
      <c r="E27" s="24" t="s">
        <v>5</v>
      </c>
      <c r="F27" s="24"/>
      <c r="G27" s="24"/>
      <c r="J27" s="15" t="s">
        <v>34</v>
      </c>
      <c r="K27" s="15"/>
      <c r="L27" s="15"/>
      <c r="M27" s="15"/>
      <c r="N27" s="15"/>
      <c r="O27" s="15"/>
      <c r="P27" s="15"/>
      <c r="Q27" s="15"/>
      <c r="U27" s="18" t="s">
        <v>97</v>
      </c>
    </row>
    <row r="28" spans="1:25" x14ac:dyDescent="0.25">
      <c r="D28" s="8" t="s">
        <v>4</v>
      </c>
      <c r="E28" s="6">
        <f t="shared" ref="E28:G43" si="9">T1</f>
        <v>2010</v>
      </c>
      <c r="F28" s="6">
        <f t="shared" si="9"/>
        <v>2020</v>
      </c>
      <c r="G28" s="6">
        <f t="shared" si="9"/>
        <v>2030</v>
      </c>
      <c r="J28" s="15" t="s">
        <v>35</v>
      </c>
      <c r="K28" s="15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5" t="s">
        <v>41</v>
      </c>
      <c r="Q28" s="15" t="s">
        <v>42</v>
      </c>
      <c r="S28" t="s">
        <v>36</v>
      </c>
      <c r="T28" t="s">
        <v>43</v>
      </c>
      <c r="U28" t="s">
        <v>44</v>
      </c>
      <c r="V28" t="s">
        <v>4</v>
      </c>
      <c r="W28">
        <f>E28</f>
        <v>2010</v>
      </c>
      <c r="X28" t="str">
        <f>V28&amp;"~2050"</f>
        <v>ACT_BND~2050</v>
      </c>
    </row>
    <row r="29" spans="1:25" x14ac:dyDescent="0.25">
      <c r="A29" s="3" t="s">
        <v>12</v>
      </c>
      <c r="C29" s="9" t="str">
        <f>$C$2&amp;"-"&amp;A29</f>
        <v>MinOIL-01</v>
      </c>
      <c r="D29">
        <f>S2</f>
        <v>0.49999999999999961</v>
      </c>
      <c r="E29" s="1">
        <f t="shared" si="9"/>
        <v>0</v>
      </c>
      <c r="F29" s="1">
        <f t="shared" si="9"/>
        <v>0</v>
      </c>
      <c r="G29" s="1">
        <f t="shared" si="9"/>
        <v>0</v>
      </c>
      <c r="J29" s="15" t="s">
        <v>45</v>
      </c>
      <c r="K29" s="15" t="str">
        <f>C29</f>
        <v>MinOIL-01</v>
      </c>
      <c r="L29" s="15" t="str">
        <f>$A$2&amp;" Step - "&amp;A29</f>
        <v>Oil Step - 01</v>
      </c>
      <c r="M29" s="15" t="s">
        <v>46</v>
      </c>
      <c r="N29" s="15" t="s">
        <v>47</v>
      </c>
      <c r="O29" s="15"/>
      <c r="P29" s="15"/>
      <c r="Q29" s="15"/>
      <c r="S29" t="str">
        <f>K29</f>
        <v>MinOIL-01</v>
      </c>
      <c r="U29" t="str">
        <f>$A$1</f>
        <v>OILRPP</v>
      </c>
      <c r="V29">
        <f t="shared" ref="V29:V49" si="10">D29</f>
        <v>0.49999999999999961</v>
      </c>
      <c r="W29" s="13">
        <f t="shared" ref="W29:W44" si="11">E29</f>
        <v>0</v>
      </c>
      <c r="X29" s="13">
        <f>V29</f>
        <v>0.49999999999999961</v>
      </c>
      <c r="Y29" s="13"/>
    </row>
    <row r="30" spans="1:25" x14ac:dyDescent="0.25">
      <c r="A30" s="3" t="s">
        <v>13</v>
      </c>
      <c r="C30" s="9" t="str">
        <f t="shared" ref="C30:C49" si="12">$C$2&amp;"-"&amp;A30</f>
        <v>MinOIL-02</v>
      </c>
      <c r="D30">
        <f t="shared" ref="D30:D49" si="13">S3-S2</f>
        <v>4.9999999999999989E-2</v>
      </c>
      <c r="E30" s="1">
        <f t="shared" si="9"/>
        <v>7.9500000000000001E-2</v>
      </c>
      <c r="F30" s="1">
        <f t="shared" si="9"/>
        <v>9.1538373369029882E-2</v>
      </c>
      <c r="G30" s="1">
        <f t="shared" si="9"/>
        <v>0.10539967042827572</v>
      </c>
      <c r="J30" s="15"/>
      <c r="K30" s="15" t="str">
        <f t="shared" ref="K30:K49" si="14">C30</f>
        <v>MinOIL-02</v>
      </c>
      <c r="L30" s="15" t="str">
        <f t="shared" ref="L30:L49" si="15">$A$2&amp;" Step - "&amp;A30</f>
        <v>Oil Step - 02</v>
      </c>
      <c r="M30" s="15" t="s">
        <v>46</v>
      </c>
      <c r="N30" s="15" t="s">
        <v>47</v>
      </c>
      <c r="O30" s="15"/>
      <c r="P30" s="15"/>
      <c r="Q30" s="15"/>
      <c r="S30" t="str">
        <f t="shared" ref="S30:S49" si="16">K30</f>
        <v>MinOIL-02</v>
      </c>
      <c r="U30" t="str">
        <f t="shared" ref="U30:U49" si="17">$A$1</f>
        <v>OILRPP</v>
      </c>
      <c r="V30">
        <f t="shared" si="10"/>
        <v>4.9999999999999989E-2</v>
      </c>
      <c r="W30" s="13">
        <f t="shared" si="11"/>
        <v>7.9500000000000001E-2</v>
      </c>
      <c r="X30" s="13">
        <f t="shared" ref="X30:X48" si="18">V30</f>
        <v>4.9999999999999989E-2</v>
      </c>
      <c r="Y30" s="13"/>
    </row>
    <row r="31" spans="1:25" x14ac:dyDescent="0.25">
      <c r="A31" s="3" t="s">
        <v>14</v>
      </c>
      <c r="C31" s="9" t="str">
        <f t="shared" si="12"/>
        <v>MinOIL-03</v>
      </c>
      <c r="D31">
        <f t="shared" si="13"/>
        <v>5.0000000000000044E-2</v>
      </c>
      <c r="E31" s="1">
        <f t="shared" si="9"/>
        <v>0.1628</v>
      </c>
      <c r="F31" s="1">
        <f t="shared" si="9"/>
        <v>0.18745216584249139</v>
      </c>
      <c r="G31" s="1">
        <f t="shared" si="9"/>
        <v>0.21583731252482122</v>
      </c>
      <c r="J31" s="15"/>
      <c r="K31" s="15" t="str">
        <f t="shared" si="14"/>
        <v>MinOIL-03</v>
      </c>
      <c r="L31" s="15" t="str">
        <f t="shared" si="15"/>
        <v>Oil Step - 03</v>
      </c>
      <c r="M31" s="15" t="s">
        <v>46</v>
      </c>
      <c r="N31" s="15" t="s">
        <v>47</v>
      </c>
      <c r="O31" s="15"/>
      <c r="P31" s="15"/>
      <c r="Q31" s="15"/>
      <c r="S31" t="str">
        <f t="shared" si="16"/>
        <v>MinOIL-03</v>
      </c>
      <c r="U31" t="str">
        <f t="shared" si="17"/>
        <v>OILRPP</v>
      </c>
      <c r="V31">
        <f t="shared" si="10"/>
        <v>5.0000000000000044E-2</v>
      </c>
      <c r="W31" s="13">
        <f t="shared" si="11"/>
        <v>0.1628</v>
      </c>
      <c r="X31" s="13">
        <f t="shared" si="18"/>
        <v>5.0000000000000044E-2</v>
      </c>
      <c r="Y31" s="13"/>
    </row>
    <row r="32" spans="1:25" x14ac:dyDescent="0.25">
      <c r="A32" s="3" t="s">
        <v>15</v>
      </c>
      <c r="C32" s="9" t="str">
        <f t="shared" si="12"/>
        <v>MinOIL-04</v>
      </c>
      <c r="D32">
        <f t="shared" si="13"/>
        <v>5.0000000000000044E-2</v>
      </c>
      <c r="E32" s="1">
        <f t="shared" si="9"/>
        <v>0.25</v>
      </c>
      <c r="F32" s="1">
        <f t="shared" si="9"/>
        <v>0.28785652002839585</v>
      </c>
      <c r="G32" s="1">
        <f t="shared" si="9"/>
        <v>0.33144550449143306</v>
      </c>
      <c r="J32" s="15"/>
      <c r="K32" s="15" t="str">
        <f t="shared" si="14"/>
        <v>MinOIL-04</v>
      </c>
      <c r="L32" s="15" t="str">
        <f t="shared" si="15"/>
        <v>Oil Step - 04</v>
      </c>
      <c r="M32" s="15" t="s">
        <v>46</v>
      </c>
      <c r="N32" s="15" t="s">
        <v>47</v>
      </c>
      <c r="O32" s="15"/>
      <c r="P32" s="15"/>
      <c r="Q32" s="15"/>
      <c r="S32" t="str">
        <f t="shared" si="16"/>
        <v>MinOIL-04</v>
      </c>
      <c r="U32" t="str">
        <f t="shared" si="17"/>
        <v>OILRPP</v>
      </c>
      <c r="V32">
        <f t="shared" si="10"/>
        <v>5.0000000000000044E-2</v>
      </c>
      <c r="W32" s="13">
        <f t="shared" si="11"/>
        <v>0.25</v>
      </c>
      <c r="X32" s="13">
        <f t="shared" si="18"/>
        <v>5.0000000000000044E-2</v>
      </c>
      <c r="Y32" s="13"/>
    </row>
    <row r="33" spans="1:25" x14ac:dyDescent="0.25">
      <c r="A33" s="3" t="s">
        <v>16</v>
      </c>
      <c r="C33" s="9" t="str">
        <f t="shared" si="12"/>
        <v>MinOIL-05</v>
      </c>
      <c r="D33">
        <f t="shared" si="13"/>
        <v>5.0000000000000044E-2</v>
      </c>
      <c r="E33" s="1">
        <f t="shared" si="9"/>
        <v>0.34150000000000003</v>
      </c>
      <c r="F33" s="1">
        <f t="shared" si="9"/>
        <v>0.39321200635878878</v>
      </c>
      <c r="G33" s="1">
        <f t="shared" si="9"/>
        <v>0.45275455913529761</v>
      </c>
      <c r="J33" s="15"/>
      <c r="K33" s="15" t="str">
        <f t="shared" si="14"/>
        <v>MinOIL-05</v>
      </c>
      <c r="L33" s="15" t="str">
        <f t="shared" si="15"/>
        <v>Oil Step - 05</v>
      </c>
      <c r="M33" s="15" t="s">
        <v>46</v>
      </c>
      <c r="N33" s="15" t="s">
        <v>47</v>
      </c>
      <c r="O33" s="15"/>
      <c r="P33" s="15"/>
      <c r="Q33" s="15"/>
      <c r="S33" t="str">
        <f t="shared" si="16"/>
        <v>MinOIL-05</v>
      </c>
      <c r="U33" t="str">
        <f t="shared" si="17"/>
        <v>OILRPP</v>
      </c>
      <c r="V33">
        <f t="shared" si="10"/>
        <v>5.0000000000000044E-2</v>
      </c>
      <c r="W33" s="13">
        <f t="shared" si="11"/>
        <v>0.34150000000000003</v>
      </c>
      <c r="X33" s="13">
        <f t="shared" si="18"/>
        <v>5.0000000000000044E-2</v>
      </c>
      <c r="Y33" s="13"/>
    </row>
    <row r="34" spans="1:25" x14ac:dyDescent="0.25">
      <c r="A34" s="3" t="s">
        <v>17</v>
      </c>
      <c r="C34" s="9" t="str">
        <f t="shared" si="12"/>
        <v>MinOIL-06</v>
      </c>
      <c r="D34">
        <f t="shared" si="13"/>
        <v>5.0000000000000044E-2</v>
      </c>
      <c r="E34" s="1">
        <f t="shared" si="9"/>
        <v>0.4375</v>
      </c>
      <c r="F34" s="1">
        <f t="shared" si="9"/>
        <v>0.50374891004969269</v>
      </c>
      <c r="G34" s="1">
        <f t="shared" si="9"/>
        <v>0.58002963286000786</v>
      </c>
      <c r="J34" s="15"/>
      <c r="K34" s="15" t="str">
        <f t="shared" si="14"/>
        <v>MinOIL-06</v>
      </c>
      <c r="L34" s="15" t="str">
        <f t="shared" si="15"/>
        <v>Oil Step - 06</v>
      </c>
      <c r="M34" s="15" t="s">
        <v>46</v>
      </c>
      <c r="N34" s="15" t="s">
        <v>47</v>
      </c>
      <c r="O34" s="15"/>
      <c r="P34" s="15"/>
      <c r="Q34" s="15"/>
      <c r="S34" t="str">
        <f t="shared" si="16"/>
        <v>MinOIL-06</v>
      </c>
      <c r="U34" t="str">
        <f t="shared" si="17"/>
        <v>OILRPP</v>
      </c>
      <c r="V34">
        <f t="shared" si="10"/>
        <v>5.0000000000000044E-2</v>
      </c>
      <c r="W34" s="13">
        <f t="shared" si="11"/>
        <v>0.4375</v>
      </c>
      <c r="X34" s="13">
        <f t="shared" si="18"/>
        <v>5.0000000000000044E-2</v>
      </c>
      <c r="Y34" s="13"/>
    </row>
    <row r="35" spans="1:25" x14ac:dyDescent="0.25">
      <c r="A35" s="3" t="s">
        <v>18</v>
      </c>
      <c r="C35" s="9" t="str">
        <f t="shared" si="12"/>
        <v>MinOIL-07</v>
      </c>
      <c r="D35">
        <f t="shared" si="13"/>
        <v>5.0000000000000044E-2</v>
      </c>
      <c r="E35" s="1">
        <f t="shared" si="9"/>
        <v>0.53849999999999998</v>
      </c>
      <c r="F35" s="1">
        <f t="shared" si="9"/>
        <v>0.62004294414116468</v>
      </c>
      <c r="G35" s="1">
        <f t="shared" si="9"/>
        <v>0.7139336166745468</v>
      </c>
      <c r="J35" s="15"/>
      <c r="K35" s="15" t="str">
        <f t="shared" si="14"/>
        <v>MinOIL-07</v>
      </c>
      <c r="L35" s="15" t="str">
        <f t="shared" si="15"/>
        <v>Oil Step - 07</v>
      </c>
      <c r="M35" s="15" t="s">
        <v>46</v>
      </c>
      <c r="N35" s="15" t="s">
        <v>47</v>
      </c>
      <c r="O35" s="15"/>
      <c r="P35" s="15"/>
      <c r="Q35" s="15"/>
      <c r="S35" t="str">
        <f t="shared" si="16"/>
        <v>MinOIL-07</v>
      </c>
      <c r="U35" t="str">
        <f t="shared" si="17"/>
        <v>OILRPP</v>
      </c>
      <c r="V35">
        <f t="shared" si="10"/>
        <v>5.0000000000000044E-2</v>
      </c>
      <c r="W35" s="13">
        <f t="shared" si="11"/>
        <v>0.53849999999999998</v>
      </c>
      <c r="X35" s="13">
        <f t="shared" si="18"/>
        <v>5.0000000000000044E-2</v>
      </c>
      <c r="Y35" s="13"/>
    </row>
    <row r="36" spans="1:25" x14ac:dyDescent="0.25">
      <c r="A36" s="3" t="s">
        <v>19</v>
      </c>
      <c r="C36" s="9" t="str">
        <f t="shared" si="12"/>
        <v>MinOIL-08</v>
      </c>
      <c r="D36">
        <f t="shared" si="13"/>
        <v>5.0000000000000044E-2</v>
      </c>
      <c r="E36" s="1">
        <f t="shared" si="9"/>
        <v>0.64470000000000005</v>
      </c>
      <c r="F36" s="1">
        <f t="shared" si="9"/>
        <v>0.74232439384922722</v>
      </c>
      <c r="G36" s="1">
        <f t="shared" si="9"/>
        <v>0.85473166698250769</v>
      </c>
      <c r="J36" s="15"/>
      <c r="K36" s="15" t="str">
        <f t="shared" si="14"/>
        <v>MinOIL-08</v>
      </c>
      <c r="L36" s="15" t="str">
        <f t="shared" si="15"/>
        <v>Oil Step - 08</v>
      </c>
      <c r="M36" s="15" t="s">
        <v>46</v>
      </c>
      <c r="N36" s="15" t="s">
        <v>47</v>
      </c>
      <c r="O36" s="15"/>
      <c r="P36" s="15"/>
      <c r="Q36" s="15"/>
      <c r="S36" t="str">
        <f t="shared" si="16"/>
        <v>MinOIL-08</v>
      </c>
      <c r="U36" t="str">
        <f t="shared" si="17"/>
        <v>OILRPP</v>
      </c>
      <c r="V36">
        <f t="shared" si="10"/>
        <v>5.0000000000000044E-2</v>
      </c>
      <c r="W36" s="13">
        <f t="shared" si="11"/>
        <v>0.64470000000000005</v>
      </c>
      <c r="X36" s="13">
        <f t="shared" si="18"/>
        <v>5.0000000000000044E-2</v>
      </c>
      <c r="Y36" s="13"/>
    </row>
    <row r="37" spans="1:25" x14ac:dyDescent="0.25">
      <c r="A37" s="3" t="s">
        <v>20</v>
      </c>
      <c r="C37" s="9" t="str">
        <f t="shared" si="12"/>
        <v>MinOIL-09</v>
      </c>
      <c r="D37">
        <f t="shared" si="13"/>
        <v>5.0000000000000044E-2</v>
      </c>
      <c r="E37" s="1">
        <f t="shared" si="9"/>
        <v>0.75680000000000003</v>
      </c>
      <c r="F37" s="1">
        <f t="shared" si="9"/>
        <v>0.87139925742995994</v>
      </c>
      <c r="G37" s="1">
        <f t="shared" si="9"/>
        <v>1.0033518311964662</v>
      </c>
      <c r="J37" s="15"/>
      <c r="K37" s="15" t="str">
        <f t="shared" si="14"/>
        <v>MinOIL-09</v>
      </c>
      <c r="L37" s="15" t="str">
        <f t="shared" si="15"/>
        <v>Oil Step - 09</v>
      </c>
      <c r="M37" s="15" t="s">
        <v>46</v>
      </c>
      <c r="N37" s="15" t="s">
        <v>47</v>
      </c>
      <c r="O37" s="15"/>
      <c r="P37" s="15"/>
      <c r="Q37" s="15"/>
      <c r="S37" t="str">
        <f t="shared" si="16"/>
        <v>MinOIL-09</v>
      </c>
      <c r="U37" t="str">
        <f t="shared" si="17"/>
        <v>OILRPP</v>
      </c>
      <c r="V37">
        <f t="shared" si="10"/>
        <v>5.0000000000000044E-2</v>
      </c>
      <c r="W37" s="13">
        <f t="shared" si="11"/>
        <v>0.75680000000000003</v>
      </c>
      <c r="X37" s="13">
        <f t="shared" si="18"/>
        <v>5.0000000000000044E-2</v>
      </c>
      <c r="Y37" s="13"/>
    </row>
    <row r="38" spans="1:25" x14ac:dyDescent="0.25">
      <c r="A38" s="3" t="s">
        <v>21</v>
      </c>
      <c r="C38" s="9" t="str">
        <f t="shared" si="12"/>
        <v>MinOIL-10</v>
      </c>
      <c r="D38">
        <f t="shared" si="13"/>
        <v>5.0000000000000044E-2</v>
      </c>
      <c r="E38" s="1">
        <f t="shared" si="9"/>
        <v>0.875</v>
      </c>
      <c r="F38" s="1">
        <f t="shared" si="9"/>
        <v>1.0074978200993854</v>
      </c>
      <c r="G38" s="1">
        <f t="shared" si="9"/>
        <v>1.1600592657200157</v>
      </c>
      <c r="J38" s="15"/>
      <c r="K38" s="15" t="str">
        <f t="shared" si="14"/>
        <v>MinOIL-10</v>
      </c>
      <c r="L38" s="15" t="str">
        <f t="shared" si="15"/>
        <v>Oil Step - 10</v>
      </c>
      <c r="M38" s="15" t="s">
        <v>46</v>
      </c>
      <c r="N38" s="15" t="s">
        <v>47</v>
      </c>
      <c r="O38" s="15"/>
      <c r="P38" s="15"/>
      <c r="Q38" s="15"/>
      <c r="S38" t="str">
        <f t="shared" si="16"/>
        <v>MinOIL-10</v>
      </c>
      <c r="U38" t="str">
        <f t="shared" si="17"/>
        <v>OILRPP</v>
      </c>
      <c r="V38">
        <f t="shared" si="10"/>
        <v>5.0000000000000044E-2</v>
      </c>
      <c r="W38" s="13">
        <f t="shared" si="11"/>
        <v>0.875</v>
      </c>
      <c r="X38" s="13">
        <f t="shared" si="18"/>
        <v>5.0000000000000044E-2</v>
      </c>
      <c r="Y38" s="13"/>
    </row>
    <row r="39" spans="1:25" x14ac:dyDescent="0.25">
      <c r="A39" s="3" t="s">
        <v>22</v>
      </c>
      <c r="C39" s="9" t="str">
        <f t="shared" si="12"/>
        <v>MinOIL-11</v>
      </c>
      <c r="D39" s="10">
        <f t="shared" si="13"/>
        <v>5.0000000000000044E-2</v>
      </c>
      <c r="E39" s="11">
        <f t="shared" si="9"/>
        <v>1</v>
      </c>
      <c r="F39" s="11">
        <f t="shared" si="9"/>
        <v>1.1514260801135834</v>
      </c>
      <c r="G39" s="11">
        <f t="shared" si="9"/>
        <v>1.3257820179657323</v>
      </c>
      <c r="J39" s="15"/>
      <c r="K39" s="15" t="str">
        <f t="shared" si="14"/>
        <v>MinOIL-11</v>
      </c>
      <c r="L39" s="15" t="str">
        <f t="shared" si="15"/>
        <v>Oil Step - 11</v>
      </c>
      <c r="M39" s="15" t="s">
        <v>46</v>
      </c>
      <c r="N39" s="15" t="s">
        <v>47</v>
      </c>
      <c r="O39" s="15"/>
      <c r="P39" s="15"/>
      <c r="Q39" s="15"/>
      <c r="S39" t="str">
        <f t="shared" si="16"/>
        <v>MinOIL-11</v>
      </c>
      <c r="U39" t="str">
        <f t="shared" si="17"/>
        <v>OILRPP</v>
      </c>
      <c r="V39">
        <f t="shared" si="10"/>
        <v>5.0000000000000044E-2</v>
      </c>
      <c r="W39" s="13">
        <f t="shared" si="11"/>
        <v>1</v>
      </c>
      <c r="X39" s="13">
        <f t="shared" si="18"/>
        <v>5.0000000000000044E-2</v>
      </c>
      <c r="Y39" s="13"/>
    </row>
    <row r="40" spans="1:25" x14ac:dyDescent="0.25">
      <c r="A40" s="3" t="s">
        <v>23</v>
      </c>
      <c r="C40" s="9" t="str">
        <f t="shared" si="12"/>
        <v>MinOIL-12</v>
      </c>
      <c r="D40">
        <f t="shared" si="13"/>
        <v>1</v>
      </c>
      <c r="E40" s="1">
        <f t="shared" si="9"/>
        <v>1.05</v>
      </c>
      <c r="F40" s="1">
        <f t="shared" si="9"/>
        <v>1.2089973841192625</v>
      </c>
      <c r="G40" s="1">
        <f t="shared" si="9"/>
        <v>1.3920711188640189</v>
      </c>
      <c r="J40" s="15"/>
      <c r="K40" s="15" t="str">
        <f t="shared" si="14"/>
        <v>MinOIL-12</v>
      </c>
      <c r="L40" s="15" t="str">
        <f t="shared" si="15"/>
        <v>Oil Step - 12</v>
      </c>
      <c r="M40" s="15" t="s">
        <v>46</v>
      </c>
      <c r="N40" s="15" t="s">
        <v>47</v>
      </c>
      <c r="O40" s="15"/>
      <c r="P40" s="15"/>
      <c r="Q40" s="15"/>
      <c r="S40" t="str">
        <f t="shared" si="16"/>
        <v>MinOIL-12</v>
      </c>
      <c r="U40" t="str">
        <f t="shared" si="17"/>
        <v>OILRPP</v>
      </c>
      <c r="V40">
        <f t="shared" si="10"/>
        <v>1</v>
      </c>
      <c r="W40" s="13">
        <f t="shared" si="11"/>
        <v>1.05</v>
      </c>
      <c r="X40" s="13">
        <f t="shared" si="18"/>
        <v>1</v>
      </c>
      <c r="Y40" s="13"/>
    </row>
    <row r="41" spans="1:25" x14ac:dyDescent="0.25">
      <c r="A41" s="3" t="s">
        <v>24</v>
      </c>
      <c r="C41" s="9" t="str">
        <f t="shared" si="12"/>
        <v>MinOIL-13</v>
      </c>
      <c r="D41">
        <f t="shared" si="13"/>
        <v>1</v>
      </c>
      <c r="E41" s="1">
        <f t="shared" si="9"/>
        <v>1.1000000000000001</v>
      </c>
      <c r="F41" s="1">
        <f t="shared" si="9"/>
        <v>1.2665686881249418</v>
      </c>
      <c r="G41" s="1">
        <f t="shared" si="9"/>
        <v>1.4583602197623056</v>
      </c>
      <c r="J41" s="15"/>
      <c r="K41" s="15" t="str">
        <f t="shared" si="14"/>
        <v>MinOIL-13</v>
      </c>
      <c r="L41" s="15" t="str">
        <f t="shared" si="15"/>
        <v>Oil Step - 13</v>
      </c>
      <c r="M41" s="15" t="s">
        <v>46</v>
      </c>
      <c r="N41" s="15" t="s">
        <v>47</v>
      </c>
      <c r="O41" s="15"/>
      <c r="P41" s="15"/>
      <c r="Q41" s="15"/>
      <c r="S41" t="str">
        <f t="shared" si="16"/>
        <v>MinOIL-13</v>
      </c>
      <c r="U41" t="str">
        <f t="shared" si="17"/>
        <v>OILRPP</v>
      </c>
      <c r="V41">
        <f t="shared" si="10"/>
        <v>1</v>
      </c>
      <c r="W41" s="13">
        <f t="shared" si="11"/>
        <v>1.1000000000000001</v>
      </c>
      <c r="X41" s="13">
        <f t="shared" si="18"/>
        <v>1</v>
      </c>
      <c r="Y41" s="13"/>
    </row>
    <row r="42" spans="1:25" x14ac:dyDescent="0.25">
      <c r="A42" s="3" t="s">
        <v>25</v>
      </c>
      <c r="C42" s="9" t="str">
        <f t="shared" si="12"/>
        <v>MinOIL-14</v>
      </c>
      <c r="D42">
        <f t="shared" si="13"/>
        <v>1</v>
      </c>
      <c r="E42" s="1">
        <f t="shared" si="9"/>
        <v>1.1499999999999999</v>
      </c>
      <c r="F42" s="1">
        <f t="shared" si="9"/>
        <v>1.3241399921306207</v>
      </c>
      <c r="G42" s="1">
        <f t="shared" si="9"/>
        <v>1.524649320660592</v>
      </c>
      <c r="J42" s="15"/>
      <c r="K42" s="15" t="str">
        <f t="shared" si="14"/>
        <v>MinOIL-14</v>
      </c>
      <c r="L42" s="15" t="str">
        <f t="shared" si="15"/>
        <v>Oil Step - 14</v>
      </c>
      <c r="M42" s="15" t="s">
        <v>46</v>
      </c>
      <c r="N42" s="15" t="s">
        <v>47</v>
      </c>
      <c r="O42" s="15"/>
      <c r="P42" s="15"/>
      <c r="Q42" s="15"/>
      <c r="S42" t="str">
        <f t="shared" si="16"/>
        <v>MinOIL-14</v>
      </c>
      <c r="U42" t="str">
        <f t="shared" si="17"/>
        <v>OILRPP</v>
      </c>
      <c r="V42">
        <f t="shared" si="10"/>
        <v>1</v>
      </c>
      <c r="W42" s="13">
        <f t="shared" si="11"/>
        <v>1.1499999999999999</v>
      </c>
      <c r="X42" s="13">
        <f t="shared" si="18"/>
        <v>1</v>
      </c>
      <c r="Y42" s="13"/>
    </row>
    <row r="43" spans="1:25" x14ac:dyDescent="0.25">
      <c r="A43" s="3" t="s">
        <v>26</v>
      </c>
      <c r="C43" s="9" t="str">
        <f t="shared" si="12"/>
        <v>MinOIL-15</v>
      </c>
      <c r="D43">
        <f t="shared" si="13"/>
        <v>1</v>
      </c>
      <c r="E43" s="1">
        <f t="shared" si="9"/>
        <v>1.2</v>
      </c>
      <c r="F43" s="1">
        <f t="shared" si="9"/>
        <v>1.3817112961363001</v>
      </c>
      <c r="G43" s="1">
        <f t="shared" si="9"/>
        <v>1.5909384215588787</v>
      </c>
      <c r="J43" s="15"/>
      <c r="K43" s="15" t="str">
        <f t="shared" si="14"/>
        <v>MinOIL-15</v>
      </c>
      <c r="L43" s="15" t="str">
        <f t="shared" si="15"/>
        <v>Oil Step - 15</v>
      </c>
      <c r="M43" s="15" t="s">
        <v>46</v>
      </c>
      <c r="N43" s="15" t="s">
        <v>47</v>
      </c>
      <c r="O43" s="15"/>
      <c r="P43" s="15"/>
      <c r="Q43" s="15"/>
      <c r="S43" t="str">
        <f t="shared" si="16"/>
        <v>MinOIL-15</v>
      </c>
      <c r="U43" t="str">
        <f t="shared" si="17"/>
        <v>OILRPP</v>
      </c>
      <c r="V43">
        <f t="shared" si="10"/>
        <v>1</v>
      </c>
      <c r="W43" s="13">
        <f t="shared" si="11"/>
        <v>1.2</v>
      </c>
      <c r="X43" s="13">
        <f t="shared" si="18"/>
        <v>1</v>
      </c>
      <c r="Y43" s="13"/>
    </row>
    <row r="44" spans="1:25" x14ac:dyDescent="0.25">
      <c r="A44" s="3" t="s">
        <v>27</v>
      </c>
      <c r="C44" s="9" t="str">
        <f t="shared" si="12"/>
        <v>MinOIL-16</v>
      </c>
      <c r="D44">
        <f t="shared" si="13"/>
        <v>1</v>
      </c>
      <c r="E44" s="1">
        <f t="shared" ref="E44:G49" si="19">T17</f>
        <v>1.25</v>
      </c>
      <c r="F44" s="1">
        <f t="shared" si="19"/>
        <v>1.4392826001419792</v>
      </c>
      <c r="G44" s="1">
        <f t="shared" si="19"/>
        <v>1.6572275224571653</v>
      </c>
      <c r="J44" s="15"/>
      <c r="K44" s="15" t="str">
        <f t="shared" si="14"/>
        <v>MinOIL-16</v>
      </c>
      <c r="L44" s="15" t="str">
        <f t="shared" si="15"/>
        <v>Oil Step - 16</v>
      </c>
      <c r="M44" s="15" t="s">
        <v>46</v>
      </c>
      <c r="N44" s="15" t="s">
        <v>47</v>
      </c>
      <c r="O44" s="15"/>
      <c r="P44" s="15"/>
      <c r="Q44" s="15"/>
      <c r="S44" t="str">
        <f t="shared" si="16"/>
        <v>MinOIL-16</v>
      </c>
      <c r="U44" t="str">
        <f t="shared" si="17"/>
        <v>OILRPP</v>
      </c>
      <c r="V44">
        <f t="shared" si="10"/>
        <v>1</v>
      </c>
      <c r="W44" s="13">
        <f t="shared" si="11"/>
        <v>1.25</v>
      </c>
      <c r="X44" s="13">
        <f t="shared" si="18"/>
        <v>1</v>
      </c>
      <c r="Y44" s="13"/>
    </row>
    <row r="45" spans="1:25" x14ac:dyDescent="0.25">
      <c r="A45" s="3" t="s">
        <v>28</v>
      </c>
      <c r="C45" s="9" t="str">
        <f t="shared" si="12"/>
        <v>MinOIL-17</v>
      </c>
      <c r="D45">
        <f t="shared" si="13"/>
        <v>1</v>
      </c>
      <c r="E45" s="1">
        <f t="shared" si="19"/>
        <v>1.3</v>
      </c>
      <c r="F45" s="1">
        <f t="shared" si="19"/>
        <v>1.4968539041476585</v>
      </c>
      <c r="G45" s="1">
        <f t="shared" si="19"/>
        <v>1.723516623355452</v>
      </c>
      <c r="J45" s="15"/>
      <c r="K45" s="15" t="str">
        <f t="shared" si="14"/>
        <v>MinOIL-17</v>
      </c>
      <c r="L45" s="15" t="str">
        <f t="shared" si="15"/>
        <v>Oil Step - 17</v>
      </c>
      <c r="M45" s="15" t="s">
        <v>46</v>
      </c>
      <c r="N45" s="15" t="s">
        <v>47</v>
      </c>
      <c r="O45" s="15"/>
      <c r="P45" s="15"/>
      <c r="Q45" s="15"/>
      <c r="S45" t="str">
        <f t="shared" si="16"/>
        <v>MinOIL-17</v>
      </c>
      <c r="U45" t="str">
        <f t="shared" si="17"/>
        <v>OILRPP</v>
      </c>
      <c r="V45">
        <f t="shared" si="10"/>
        <v>1</v>
      </c>
      <c r="W45" s="13">
        <f>E45</f>
        <v>1.3</v>
      </c>
      <c r="X45" s="13">
        <f t="shared" si="18"/>
        <v>1</v>
      </c>
      <c r="Y45" s="13"/>
    </row>
    <row r="46" spans="1:25" x14ac:dyDescent="0.25">
      <c r="A46" s="3" t="s">
        <v>29</v>
      </c>
      <c r="C46" s="9" t="str">
        <f t="shared" si="12"/>
        <v>MinOIL-18</v>
      </c>
      <c r="D46">
        <f t="shared" si="13"/>
        <v>1</v>
      </c>
      <c r="E46" s="1">
        <f t="shared" si="19"/>
        <v>1.35</v>
      </c>
      <c r="F46" s="1">
        <f t="shared" si="19"/>
        <v>1.5544252081533376</v>
      </c>
      <c r="G46" s="1">
        <f t="shared" si="19"/>
        <v>1.7898057242537386</v>
      </c>
      <c r="J46" s="15"/>
      <c r="K46" s="15" t="str">
        <f t="shared" si="14"/>
        <v>MinOIL-18</v>
      </c>
      <c r="L46" s="15" t="str">
        <f t="shared" si="15"/>
        <v>Oil Step - 18</v>
      </c>
      <c r="M46" s="15" t="s">
        <v>46</v>
      </c>
      <c r="N46" s="15" t="s">
        <v>47</v>
      </c>
      <c r="O46" s="15"/>
      <c r="P46" s="15"/>
      <c r="Q46" s="15"/>
      <c r="S46" t="str">
        <f t="shared" si="16"/>
        <v>MinOIL-18</v>
      </c>
      <c r="U46" t="str">
        <f t="shared" si="17"/>
        <v>OILRPP</v>
      </c>
      <c r="V46">
        <f t="shared" si="10"/>
        <v>1</v>
      </c>
      <c r="W46" s="13">
        <f>E46</f>
        <v>1.35</v>
      </c>
      <c r="X46" s="13">
        <f t="shared" si="18"/>
        <v>1</v>
      </c>
      <c r="Y46" s="13"/>
    </row>
    <row r="47" spans="1:25" x14ac:dyDescent="0.25">
      <c r="A47" s="3" t="s">
        <v>30</v>
      </c>
      <c r="C47" s="9" t="str">
        <f t="shared" si="12"/>
        <v>MinOIL-19</v>
      </c>
      <c r="D47">
        <f t="shared" si="13"/>
        <v>1</v>
      </c>
      <c r="E47" s="1">
        <f t="shared" si="19"/>
        <v>1.4</v>
      </c>
      <c r="F47" s="1">
        <f t="shared" si="19"/>
        <v>1.6119965121590167</v>
      </c>
      <c r="G47" s="1">
        <f t="shared" si="19"/>
        <v>1.8560948251520251</v>
      </c>
      <c r="J47" s="15"/>
      <c r="K47" s="15" t="str">
        <f t="shared" si="14"/>
        <v>MinOIL-19</v>
      </c>
      <c r="L47" s="15" t="str">
        <f t="shared" si="15"/>
        <v>Oil Step - 19</v>
      </c>
      <c r="M47" s="15" t="s">
        <v>46</v>
      </c>
      <c r="N47" s="15" t="s">
        <v>47</v>
      </c>
      <c r="O47" s="15"/>
      <c r="P47" s="15"/>
      <c r="Q47" s="15"/>
      <c r="S47" t="str">
        <f t="shared" si="16"/>
        <v>MinOIL-19</v>
      </c>
      <c r="U47" t="str">
        <f t="shared" si="17"/>
        <v>OILRPP</v>
      </c>
      <c r="V47">
        <f t="shared" si="10"/>
        <v>1</v>
      </c>
      <c r="W47" s="13">
        <f>E47</f>
        <v>1.4</v>
      </c>
      <c r="X47" s="13">
        <f t="shared" si="18"/>
        <v>1</v>
      </c>
      <c r="Y47" s="13"/>
    </row>
    <row r="48" spans="1:25" x14ac:dyDescent="0.25">
      <c r="A48" s="3" t="s">
        <v>31</v>
      </c>
      <c r="C48" s="9" t="str">
        <f t="shared" si="12"/>
        <v>MinOIL-20</v>
      </c>
      <c r="D48">
        <f t="shared" si="13"/>
        <v>1</v>
      </c>
      <c r="E48" s="1">
        <f t="shared" si="19"/>
        <v>1.45</v>
      </c>
      <c r="F48" s="1">
        <f t="shared" si="19"/>
        <v>1.6695678161646959</v>
      </c>
      <c r="G48" s="1">
        <f t="shared" si="19"/>
        <v>1.9223839260503117</v>
      </c>
      <c r="J48" s="15"/>
      <c r="K48" s="15" t="str">
        <f t="shared" si="14"/>
        <v>MinOIL-20</v>
      </c>
      <c r="L48" s="15" t="str">
        <f t="shared" si="15"/>
        <v>Oil Step - 20</v>
      </c>
      <c r="M48" s="15" t="s">
        <v>46</v>
      </c>
      <c r="N48" s="15" t="s">
        <v>47</v>
      </c>
      <c r="O48" s="15"/>
      <c r="P48" s="15"/>
      <c r="Q48" s="15"/>
      <c r="S48" t="str">
        <f t="shared" si="16"/>
        <v>MinOIL-20</v>
      </c>
      <c r="U48" t="str">
        <f t="shared" si="17"/>
        <v>OILRPP</v>
      </c>
      <c r="V48">
        <f t="shared" si="10"/>
        <v>1</v>
      </c>
      <c r="W48" s="13">
        <f>E48</f>
        <v>1.45</v>
      </c>
      <c r="X48" s="13">
        <f t="shared" si="18"/>
        <v>1</v>
      </c>
      <c r="Y48" s="13"/>
    </row>
    <row r="49" spans="1:25" x14ac:dyDescent="0.25">
      <c r="A49" s="3" t="s">
        <v>32</v>
      </c>
      <c r="C49" s="9" t="str">
        <f t="shared" si="12"/>
        <v>MinOIL-21</v>
      </c>
      <c r="D49">
        <f t="shared" si="13"/>
        <v>1</v>
      </c>
      <c r="E49" s="1">
        <f t="shared" si="19"/>
        <v>1.5</v>
      </c>
      <c r="F49" s="1">
        <f t="shared" si="19"/>
        <v>1.7271391201703752</v>
      </c>
      <c r="G49" s="1">
        <f t="shared" si="19"/>
        <v>1.9886730269485984</v>
      </c>
      <c r="J49" s="15"/>
      <c r="K49" s="15" t="str">
        <f t="shared" si="14"/>
        <v>MinOIL-21</v>
      </c>
      <c r="L49" s="15" t="str">
        <f t="shared" si="15"/>
        <v>Oil Step - 21</v>
      </c>
      <c r="M49" s="15" t="s">
        <v>46</v>
      </c>
      <c r="N49" s="15" t="s">
        <v>47</v>
      </c>
      <c r="O49" s="15"/>
      <c r="P49" s="15"/>
      <c r="Q49" s="15"/>
      <c r="S49" t="str">
        <f t="shared" si="16"/>
        <v>MinOIL-21</v>
      </c>
      <c r="U49" t="str">
        <f t="shared" si="17"/>
        <v>OILRPP</v>
      </c>
      <c r="V49">
        <f t="shared" si="10"/>
        <v>1</v>
      </c>
      <c r="W49" s="13">
        <f>E49</f>
        <v>1.5</v>
      </c>
      <c r="X49" s="13"/>
      <c r="Y49" s="13"/>
    </row>
  </sheetData>
  <mergeCells count="3">
    <mergeCell ref="B7:B9"/>
    <mergeCell ref="B10:B12"/>
    <mergeCell ref="E27:G27"/>
  </mergeCells>
  <pageMargins left="0.7" right="0.7" top="0.75" bottom="0.75" header="0.3" footer="0.3"/>
  <pageSetup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51"/>
  <sheetViews>
    <sheetView workbookViewId="0"/>
  </sheetViews>
  <sheetFormatPr defaultColWidth="8.85546875" defaultRowHeight="15" x14ac:dyDescent="0.25"/>
  <cols>
    <col min="1" max="1" width="20.7109375" bestFit="1" customWidth="1"/>
    <col min="2" max="2" width="3.42578125" bestFit="1" customWidth="1"/>
    <col min="3" max="3" width="16.28515625" bestFit="1" customWidth="1"/>
    <col min="4" max="4" width="9.28515625" bestFit="1" customWidth="1"/>
    <col min="5" max="5" width="6.85546875" bestFit="1" customWidth="1"/>
    <col min="6" max="6" width="8.85546875" bestFit="1" customWidth="1"/>
    <col min="7" max="7" width="9.85546875" bestFit="1" customWidth="1"/>
    <col min="8" max="10" width="8.85546875" customWidth="1"/>
    <col min="11" max="11" width="10.7109375" bestFit="1" customWidth="1"/>
  </cols>
  <sheetData>
    <row r="1" spans="1:22" x14ac:dyDescent="0.25">
      <c r="A1" s="12" t="s">
        <v>56</v>
      </c>
      <c r="T1" s="18">
        <f>'Gas-Min'!$T$1</f>
        <v>2010</v>
      </c>
      <c r="U1" s="18">
        <f>'Gas-Min'!$U$1</f>
        <v>2020</v>
      </c>
      <c r="V1" s="18">
        <f>'Gas-Min'!$V$1</f>
        <v>2030</v>
      </c>
    </row>
    <row r="2" spans="1:22" x14ac:dyDescent="0.25">
      <c r="A2" s="12" t="s">
        <v>57</v>
      </c>
      <c r="C2" s="7" t="s">
        <v>58</v>
      </c>
      <c r="D2" t="s">
        <v>8</v>
      </c>
      <c r="E2" t="s">
        <v>9</v>
      </c>
      <c r="R2">
        <f t="shared" ref="R2:R10" si="0">R3+($E$10-$D$10)/($D$12-1)</f>
        <v>4.0000000000000036</v>
      </c>
      <c r="S2">
        <f t="shared" ref="S2:S11" si="1">S3-$D$11</f>
        <v>0.49999999999999961</v>
      </c>
      <c r="T2" s="13">
        <f t="shared" ref="T2:T11" si="2">ROUND((S2-$S$12)/$S$12/R2*$T$12+$T$12,2)</f>
        <v>0.01</v>
      </c>
      <c r="U2" s="13">
        <f t="shared" ref="U2:U22" si="3">T2*(1+$D$14)^5</f>
        <v>1.0510100501E-2</v>
      </c>
      <c r="V2" s="13">
        <f t="shared" ref="V2:V22" si="4">T2*(1+$D$14)^10</f>
        <v>1.1046221254112048E-2</v>
      </c>
    </row>
    <row r="3" spans="1:22" x14ac:dyDescent="0.25">
      <c r="D3" s="4">
        <v>0.01</v>
      </c>
      <c r="E3" s="4">
        <v>1</v>
      </c>
      <c r="R3">
        <f t="shared" si="0"/>
        <v>4.1111111111111143</v>
      </c>
      <c r="S3">
        <f t="shared" si="1"/>
        <v>0.5499999999999996</v>
      </c>
      <c r="T3" s="13">
        <f t="shared" si="2"/>
        <v>0.01</v>
      </c>
      <c r="U3" s="13">
        <f t="shared" si="3"/>
        <v>1.0510100501E-2</v>
      </c>
      <c r="V3" s="13">
        <f t="shared" si="4"/>
        <v>1.1046221254112048E-2</v>
      </c>
    </row>
    <row r="4" spans="1:22" x14ac:dyDescent="0.25">
      <c r="R4">
        <f t="shared" si="0"/>
        <v>4.222222222222225</v>
      </c>
      <c r="S4">
        <f t="shared" si="1"/>
        <v>0.59999999999999964</v>
      </c>
      <c r="T4" s="13">
        <f t="shared" si="2"/>
        <v>0.01</v>
      </c>
      <c r="U4" s="13">
        <f t="shared" si="3"/>
        <v>1.0510100501E-2</v>
      </c>
      <c r="V4" s="13">
        <f t="shared" si="4"/>
        <v>1.1046221254112048E-2</v>
      </c>
    </row>
    <row r="5" spans="1:22" x14ac:dyDescent="0.25">
      <c r="R5">
        <f t="shared" si="0"/>
        <v>4.3333333333333357</v>
      </c>
      <c r="S5">
        <f t="shared" si="1"/>
        <v>0.64999999999999969</v>
      </c>
      <c r="T5" s="13">
        <f t="shared" si="2"/>
        <v>0.01</v>
      </c>
      <c r="U5" s="13">
        <f t="shared" si="3"/>
        <v>1.0510100501E-2</v>
      </c>
      <c r="V5" s="13">
        <f t="shared" si="4"/>
        <v>1.1046221254112048E-2</v>
      </c>
    </row>
    <row r="6" spans="1:22" x14ac:dyDescent="0.25">
      <c r="D6" s="2" t="s">
        <v>10</v>
      </c>
      <c r="E6" s="2" t="s">
        <v>11</v>
      </c>
      <c r="R6">
        <f t="shared" si="0"/>
        <v>4.4444444444444464</v>
      </c>
      <c r="S6">
        <f t="shared" si="1"/>
        <v>0.69999999999999973</v>
      </c>
      <c r="T6" s="13">
        <f t="shared" si="2"/>
        <v>0.01</v>
      </c>
      <c r="U6" s="13">
        <f t="shared" si="3"/>
        <v>1.0510100501E-2</v>
      </c>
      <c r="V6" s="13">
        <f t="shared" si="4"/>
        <v>1.1046221254112048E-2</v>
      </c>
    </row>
    <row r="7" spans="1:22" x14ac:dyDescent="0.25">
      <c r="B7" s="25" t="s">
        <v>0</v>
      </c>
      <c r="C7" t="s">
        <v>2</v>
      </c>
      <c r="D7" s="4">
        <v>5</v>
      </c>
      <c r="E7" s="4">
        <v>5</v>
      </c>
      <c r="R7">
        <f t="shared" si="0"/>
        <v>4.5555555555555571</v>
      </c>
      <c r="S7">
        <f t="shared" si="1"/>
        <v>0.74999999999999978</v>
      </c>
      <c r="T7" s="13">
        <f t="shared" si="2"/>
        <v>0.01</v>
      </c>
      <c r="U7" s="13">
        <f t="shared" si="3"/>
        <v>1.0510100501E-2</v>
      </c>
      <c r="V7" s="13">
        <f t="shared" si="4"/>
        <v>1.1046221254112048E-2</v>
      </c>
    </row>
    <row r="8" spans="1:22" x14ac:dyDescent="0.25">
      <c r="B8" s="25"/>
      <c r="C8" t="s">
        <v>6</v>
      </c>
      <c r="D8" s="4">
        <f>0.1*E3</f>
        <v>0.1</v>
      </c>
      <c r="R8">
        <f t="shared" si="0"/>
        <v>4.6666666666666679</v>
      </c>
      <c r="S8">
        <f t="shared" si="1"/>
        <v>0.79999999999999982</v>
      </c>
      <c r="T8" s="13">
        <f t="shared" si="2"/>
        <v>0.01</v>
      </c>
      <c r="U8" s="13">
        <f t="shared" si="3"/>
        <v>1.0510100501E-2</v>
      </c>
      <c r="V8" s="13">
        <f t="shared" si="4"/>
        <v>1.1046221254112048E-2</v>
      </c>
    </row>
    <row r="9" spans="1:22" x14ac:dyDescent="0.25">
      <c r="B9" s="25"/>
      <c r="C9" t="s">
        <v>1</v>
      </c>
      <c r="D9" s="4">
        <v>10</v>
      </c>
      <c r="R9">
        <f t="shared" si="0"/>
        <v>4.7777777777777786</v>
      </c>
      <c r="S9">
        <f t="shared" si="1"/>
        <v>0.84999999999999987</v>
      </c>
      <c r="T9" s="13">
        <f t="shared" si="2"/>
        <v>0.01</v>
      </c>
      <c r="U9" s="13">
        <f t="shared" si="3"/>
        <v>1.0510100501E-2</v>
      </c>
      <c r="V9" s="13">
        <f t="shared" si="4"/>
        <v>1.1046221254112048E-2</v>
      </c>
    </row>
    <row r="10" spans="1:22" x14ac:dyDescent="0.25">
      <c r="B10" s="25" t="s">
        <v>3</v>
      </c>
      <c r="C10" t="s">
        <v>2</v>
      </c>
      <c r="D10" s="4">
        <f>D7</f>
        <v>5</v>
      </c>
      <c r="E10" s="4">
        <v>4</v>
      </c>
      <c r="R10">
        <f t="shared" si="0"/>
        <v>4.8888888888888893</v>
      </c>
      <c r="S10">
        <f t="shared" si="1"/>
        <v>0.89999999999999991</v>
      </c>
      <c r="T10" s="13">
        <f t="shared" si="2"/>
        <v>0.01</v>
      </c>
      <c r="U10" s="13">
        <f t="shared" si="3"/>
        <v>1.0510100501E-2</v>
      </c>
      <c r="V10" s="13">
        <f t="shared" si="4"/>
        <v>1.1046221254112048E-2</v>
      </c>
    </row>
    <row r="11" spans="1:22" x14ac:dyDescent="0.25">
      <c r="B11" s="25"/>
      <c r="C11" t="s">
        <v>6</v>
      </c>
      <c r="D11" s="4">
        <f>0.05*E3</f>
        <v>0.05</v>
      </c>
      <c r="R11">
        <f>D10</f>
        <v>5</v>
      </c>
      <c r="S11">
        <f t="shared" si="1"/>
        <v>0.95</v>
      </c>
      <c r="T11" s="13">
        <f t="shared" si="2"/>
        <v>0.01</v>
      </c>
      <c r="U11" s="13">
        <f t="shared" si="3"/>
        <v>1.0510100501E-2</v>
      </c>
      <c r="V11" s="13">
        <f t="shared" si="4"/>
        <v>1.1046221254112048E-2</v>
      </c>
    </row>
    <row r="12" spans="1:22" x14ac:dyDescent="0.25">
      <c r="B12" s="25"/>
      <c r="C12" t="s">
        <v>1</v>
      </c>
      <c r="D12" s="4">
        <v>10</v>
      </c>
      <c r="S12">
        <f>E3</f>
        <v>1</v>
      </c>
      <c r="T12" s="13">
        <f>D3</f>
        <v>0.01</v>
      </c>
      <c r="U12" s="13">
        <f t="shared" si="3"/>
        <v>1.0510100501E-2</v>
      </c>
      <c r="V12" s="13">
        <f t="shared" si="4"/>
        <v>1.1046221254112048E-2</v>
      </c>
    </row>
    <row r="13" spans="1:22" x14ac:dyDescent="0.25">
      <c r="R13">
        <f>D7</f>
        <v>5</v>
      </c>
      <c r="S13">
        <f t="shared" ref="S13:S22" si="5">S12+$D$8</f>
        <v>1.1000000000000001</v>
      </c>
      <c r="T13" s="13">
        <f t="shared" ref="T13:T22" si="6">ROUND((S13-$S$12)/$S$12/R13*$T$12+$T$12,2)</f>
        <v>0.01</v>
      </c>
      <c r="U13" s="13">
        <f t="shared" si="3"/>
        <v>1.0510100501E-2</v>
      </c>
      <c r="V13" s="13">
        <f t="shared" si="4"/>
        <v>1.1046221254112048E-2</v>
      </c>
    </row>
    <row r="14" spans="1:22" x14ac:dyDescent="0.25">
      <c r="C14" t="s">
        <v>7</v>
      </c>
      <c r="D14" s="14">
        <v>0.01</v>
      </c>
      <c r="R14">
        <f t="shared" ref="R14:R22" si="7">R13+($E$7-$D$7)/($D$9-1)</f>
        <v>5</v>
      </c>
      <c r="S14">
        <f t="shared" si="5"/>
        <v>1.2000000000000002</v>
      </c>
      <c r="T14" s="13">
        <f t="shared" si="6"/>
        <v>0.01</v>
      </c>
      <c r="U14" s="13">
        <f t="shared" si="3"/>
        <v>1.0510100501E-2</v>
      </c>
      <c r="V14" s="13">
        <f t="shared" si="4"/>
        <v>1.1046221254112048E-2</v>
      </c>
    </row>
    <row r="15" spans="1:22" x14ac:dyDescent="0.25">
      <c r="R15">
        <f t="shared" si="7"/>
        <v>5</v>
      </c>
      <c r="S15">
        <f t="shared" si="5"/>
        <v>1.3000000000000003</v>
      </c>
      <c r="T15" s="13">
        <f t="shared" si="6"/>
        <v>0.01</v>
      </c>
      <c r="U15" s="13">
        <f t="shared" si="3"/>
        <v>1.0510100501E-2</v>
      </c>
      <c r="V15" s="13">
        <f t="shared" si="4"/>
        <v>1.1046221254112048E-2</v>
      </c>
    </row>
    <row r="16" spans="1:22" x14ac:dyDescent="0.25">
      <c r="R16">
        <f t="shared" si="7"/>
        <v>5</v>
      </c>
      <c r="S16">
        <f t="shared" si="5"/>
        <v>1.4000000000000004</v>
      </c>
      <c r="T16" s="13">
        <f t="shared" si="6"/>
        <v>0.01</v>
      </c>
      <c r="U16" s="13">
        <f t="shared" si="3"/>
        <v>1.0510100501E-2</v>
      </c>
      <c r="V16" s="13">
        <f t="shared" si="4"/>
        <v>1.1046221254112048E-2</v>
      </c>
    </row>
    <row r="17" spans="1:25" x14ac:dyDescent="0.25">
      <c r="R17">
        <f t="shared" si="7"/>
        <v>5</v>
      </c>
      <c r="S17">
        <f t="shared" si="5"/>
        <v>1.5000000000000004</v>
      </c>
      <c r="T17" s="13">
        <f t="shared" si="6"/>
        <v>0.01</v>
      </c>
      <c r="U17" s="13">
        <f t="shared" si="3"/>
        <v>1.0510100501E-2</v>
      </c>
      <c r="V17" s="13">
        <f t="shared" si="4"/>
        <v>1.1046221254112048E-2</v>
      </c>
    </row>
    <row r="18" spans="1:25" x14ac:dyDescent="0.25">
      <c r="R18">
        <f t="shared" si="7"/>
        <v>5</v>
      </c>
      <c r="S18">
        <f t="shared" si="5"/>
        <v>1.6000000000000005</v>
      </c>
      <c r="T18" s="13">
        <f t="shared" si="6"/>
        <v>0.01</v>
      </c>
      <c r="U18" s="13">
        <f t="shared" si="3"/>
        <v>1.0510100501E-2</v>
      </c>
      <c r="V18" s="13">
        <f t="shared" si="4"/>
        <v>1.1046221254112048E-2</v>
      </c>
    </row>
    <row r="19" spans="1:25" x14ac:dyDescent="0.25">
      <c r="R19">
        <f t="shared" si="7"/>
        <v>5</v>
      </c>
      <c r="S19">
        <f t="shared" si="5"/>
        <v>1.7000000000000006</v>
      </c>
      <c r="T19" s="13">
        <f t="shared" si="6"/>
        <v>0.01</v>
      </c>
      <c r="U19" s="13">
        <f t="shared" si="3"/>
        <v>1.0510100501E-2</v>
      </c>
      <c r="V19" s="13">
        <f t="shared" si="4"/>
        <v>1.1046221254112048E-2</v>
      </c>
    </row>
    <row r="20" spans="1:25" x14ac:dyDescent="0.25">
      <c r="R20">
        <f t="shared" si="7"/>
        <v>5</v>
      </c>
      <c r="S20">
        <f t="shared" si="5"/>
        <v>1.8000000000000007</v>
      </c>
      <c r="T20" s="13">
        <f t="shared" si="6"/>
        <v>0.01</v>
      </c>
      <c r="U20" s="13">
        <f t="shared" si="3"/>
        <v>1.0510100501E-2</v>
      </c>
      <c r="V20" s="13">
        <f t="shared" si="4"/>
        <v>1.1046221254112048E-2</v>
      </c>
    </row>
    <row r="21" spans="1:25" x14ac:dyDescent="0.25">
      <c r="R21">
        <f t="shared" si="7"/>
        <v>5</v>
      </c>
      <c r="S21">
        <f t="shared" si="5"/>
        <v>1.9000000000000008</v>
      </c>
      <c r="T21" s="13">
        <f t="shared" si="6"/>
        <v>0.01</v>
      </c>
      <c r="U21" s="13">
        <f t="shared" si="3"/>
        <v>1.0510100501E-2</v>
      </c>
      <c r="V21" s="13">
        <f t="shared" si="4"/>
        <v>1.1046221254112048E-2</v>
      </c>
    </row>
    <row r="22" spans="1:25" x14ac:dyDescent="0.25">
      <c r="R22">
        <f t="shared" si="7"/>
        <v>5</v>
      </c>
      <c r="S22">
        <f t="shared" si="5"/>
        <v>2.0000000000000009</v>
      </c>
      <c r="T22" s="13">
        <f t="shared" si="6"/>
        <v>0.01</v>
      </c>
      <c r="U22" s="13">
        <f t="shared" si="3"/>
        <v>1.0510100501E-2</v>
      </c>
      <c r="V22" s="13">
        <f t="shared" si="4"/>
        <v>1.1046221254112048E-2</v>
      </c>
    </row>
    <row r="27" spans="1:25" x14ac:dyDescent="0.25">
      <c r="E27" s="24" t="s">
        <v>5</v>
      </c>
      <c r="F27" s="24"/>
      <c r="G27" s="24"/>
      <c r="J27" s="15" t="s">
        <v>34</v>
      </c>
      <c r="K27" s="15"/>
      <c r="L27" s="15"/>
      <c r="M27" s="15"/>
      <c r="N27" s="15"/>
      <c r="O27" s="15"/>
      <c r="P27" s="15"/>
      <c r="Q27" s="15"/>
      <c r="U27" s="18" t="s">
        <v>97</v>
      </c>
    </row>
    <row r="28" spans="1:25" x14ac:dyDescent="0.25">
      <c r="D28" s="8" t="s">
        <v>4</v>
      </c>
      <c r="E28" s="6">
        <f t="shared" ref="E28:G29" si="8">T1</f>
        <v>2010</v>
      </c>
      <c r="F28" s="6">
        <f t="shared" si="8"/>
        <v>2020</v>
      </c>
      <c r="G28" s="6">
        <f t="shared" si="8"/>
        <v>2030</v>
      </c>
      <c r="J28" s="15" t="s">
        <v>35</v>
      </c>
      <c r="K28" s="15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5" t="s">
        <v>41</v>
      </c>
      <c r="Q28" s="15" t="s">
        <v>42</v>
      </c>
      <c r="S28" t="s">
        <v>36</v>
      </c>
      <c r="T28" t="s">
        <v>43</v>
      </c>
      <c r="U28" t="s">
        <v>44</v>
      </c>
      <c r="V28" t="s">
        <v>4</v>
      </c>
      <c r="W28">
        <f>E28</f>
        <v>2010</v>
      </c>
      <c r="X28" t="str">
        <f>V28&amp;"~2050"</f>
        <v>ACT_BND~2050</v>
      </c>
    </row>
    <row r="29" spans="1:25" x14ac:dyDescent="0.25">
      <c r="A29" s="3" t="s">
        <v>12</v>
      </c>
      <c r="C29" s="9" t="str">
        <f>$C$2&amp;"-"&amp;A29</f>
        <v>RNWElec-01</v>
      </c>
      <c r="D29">
        <f>S2</f>
        <v>0.49999999999999961</v>
      </c>
      <c r="E29" s="1">
        <f t="shared" si="8"/>
        <v>0.01</v>
      </c>
      <c r="F29" s="1">
        <f t="shared" si="8"/>
        <v>1.0510100501E-2</v>
      </c>
      <c r="G29" s="1">
        <f t="shared" si="8"/>
        <v>1.1046221254112048E-2</v>
      </c>
      <c r="J29" s="15" t="s">
        <v>45</v>
      </c>
      <c r="K29" s="15" t="str">
        <f>C29</f>
        <v>RNWElec-01</v>
      </c>
      <c r="L29" s="15" t="str">
        <f>$A$2&amp;" Step - "&amp;A29</f>
        <v>Renewable Electricity Step - 01</v>
      </c>
      <c r="M29" s="15" t="s">
        <v>46</v>
      </c>
      <c r="N29" s="15" t="s">
        <v>47</v>
      </c>
      <c r="O29" s="15"/>
      <c r="P29" s="15"/>
      <c r="Q29" s="15"/>
      <c r="S29" t="str">
        <f>K29</f>
        <v>RNWElec-01</v>
      </c>
      <c r="U29" t="str">
        <f>$A$1</f>
        <v>ELCREN</v>
      </c>
      <c r="W29" s="13">
        <f t="shared" ref="V29:W51" si="9">E29</f>
        <v>0.01</v>
      </c>
      <c r="X29" s="13"/>
      <c r="Y29" s="13"/>
    </row>
    <row r="30" spans="1:25" s="18" customFormat="1" x14ac:dyDescent="0.25">
      <c r="A30" s="3"/>
      <c r="C30"/>
      <c r="E30" s="1"/>
      <c r="F30" s="1"/>
      <c r="G30" s="1"/>
      <c r="J30" s="15"/>
      <c r="K30" s="15"/>
      <c r="L30" s="15"/>
      <c r="M30" s="15"/>
      <c r="N30" s="15"/>
      <c r="O30" s="15"/>
      <c r="P30" s="15"/>
      <c r="Q30" s="15"/>
      <c r="W30" s="13"/>
      <c r="X30" s="13"/>
      <c r="Y30" s="13"/>
    </row>
    <row r="31" spans="1:25" s="18" customFormat="1" x14ac:dyDescent="0.25">
      <c r="A31" s="3"/>
      <c r="C31"/>
      <c r="E31" s="1"/>
      <c r="F31" s="1"/>
      <c r="G31" s="1"/>
      <c r="J31" s="15"/>
      <c r="K31" s="15"/>
      <c r="L31" s="15"/>
      <c r="M31" s="15"/>
      <c r="N31" s="15"/>
      <c r="O31" s="15"/>
      <c r="P31" s="15"/>
      <c r="Q31" s="15"/>
      <c r="W31" s="13"/>
      <c r="X31" s="13"/>
      <c r="Y31" s="13"/>
    </row>
    <row r="32" spans="1:25" x14ac:dyDescent="0.25">
      <c r="A32" s="3" t="s">
        <v>13</v>
      </c>
      <c r="C32" s="9" t="str">
        <f t="shared" ref="C32:C51" si="10">$C$2&amp;"-"&amp;A32</f>
        <v>RNWElec-02</v>
      </c>
      <c r="D32">
        <f t="shared" ref="D32:D51" si="11">S3-S2</f>
        <v>4.9999999999999989E-2</v>
      </c>
      <c r="E32" s="1">
        <f t="shared" ref="E32:E45" si="12">T3</f>
        <v>0.01</v>
      </c>
      <c r="F32" s="1">
        <f t="shared" ref="F32:F45" si="13">U3</f>
        <v>1.0510100501E-2</v>
      </c>
      <c r="G32" s="1">
        <f t="shared" ref="G32:G45" si="14">V3</f>
        <v>1.1046221254112048E-2</v>
      </c>
      <c r="J32" s="15"/>
      <c r="K32" s="15" t="str">
        <f t="shared" ref="K32:K51" si="15">C32</f>
        <v>RNWElec-02</v>
      </c>
      <c r="L32" s="15" t="str">
        <f t="shared" ref="L32:L51" si="16">$A$2&amp;" Step - "&amp;A32</f>
        <v>Renewable Electricity Step - 02</v>
      </c>
      <c r="M32" s="15" t="s">
        <v>46</v>
      </c>
      <c r="N32" s="15" t="s">
        <v>47</v>
      </c>
      <c r="O32" s="15"/>
      <c r="P32" s="15"/>
      <c r="Q32" s="15"/>
      <c r="S32" t="str">
        <f t="shared" ref="S32:S51" si="17">K32</f>
        <v>RNWElec-02</v>
      </c>
      <c r="U32" t="str">
        <f t="shared" ref="U32:U51" si="18">$A$1</f>
        <v>ELCREN</v>
      </c>
      <c r="V32">
        <f t="shared" si="9"/>
        <v>4.9999999999999989E-2</v>
      </c>
      <c r="W32" s="13">
        <f t="shared" si="9"/>
        <v>0.01</v>
      </c>
      <c r="X32" s="13">
        <f t="shared" ref="X32:X50" si="19">V32</f>
        <v>4.9999999999999989E-2</v>
      </c>
      <c r="Y32" s="13"/>
    </row>
    <row r="33" spans="1:25" x14ac:dyDescent="0.25">
      <c r="A33" s="3" t="s">
        <v>14</v>
      </c>
      <c r="C33" s="9" t="str">
        <f t="shared" si="10"/>
        <v>RNWElec-03</v>
      </c>
      <c r="D33">
        <f t="shared" si="11"/>
        <v>5.0000000000000044E-2</v>
      </c>
      <c r="E33" s="1">
        <f t="shared" si="12"/>
        <v>0.01</v>
      </c>
      <c r="F33" s="1">
        <f t="shared" si="13"/>
        <v>1.0510100501E-2</v>
      </c>
      <c r="G33" s="1">
        <f t="shared" si="14"/>
        <v>1.1046221254112048E-2</v>
      </c>
      <c r="J33" s="15"/>
      <c r="K33" s="15" t="str">
        <f t="shared" si="15"/>
        <v>RNWElec-03</v>
      </c>
      <c r="L33" s="15" t="str">
        <f t="shared" si="16"/>
        <v>Renewable Electricity Step - 03</v>
      </c>
      <c r="M33" s="15" t="s">
        <v>46</v>
      </c>
      <c r="N33" s="15" t="s">
        <v>47</v>
      </c>
      <c r="O33" s="15"/>
      <c r="P33" s="15"/>
      <c r="Q33" s="15"/>
      <c r="S33" t="str">
        <f t="shared" si="17"/>
        <v>RNWElec-03</v>
      </c>
      <c r="U33" t="str">
        <f t="shared" si="18"/>
        <v>ELCREN</v>
      </c>
      <c r="V33">
        <f t="shared" si="9"/>
        <v>5.0000000000000044E-2</v>
      </c>
      <c r="W33" s="13">
        <f t="shared" si="9"/>
        <v>0.01</v>
      </c>
      <c r="X33" s="13">
        <f t="shared" si="19"/>
        <v>5.0000000000000044E-2</v>
      </c>
      <c r="Y33" s="13"/>
    </row>
    <row r="34" spans="1:25" x14ac:dyDescent="0.25">
      <c r="A34" s="3" t="s">
        <v>15</v>
      </c>
      <c r="C34" s="9" t="str">
        <f t="shared" si="10"/>
        <v>RNWElec-04</v>
      </c>
      <c r="D34">
        <f t="shared" si="11"/>
        <v>5.0000000000000044E-2</v>
      </c>
      <c r="E34" s="1">
        <f t="shared" si="12"/>
        <v>0.01</v>
      </c>
      <c r="F34" s="1">
        <f t="shared" si="13"/>
        <v>1.0510100501E-2</v>
      </c>
      <c r="G34" s="1">
        <f t="shared" si="14"/>
        <v>1.1046221254112048E-2</v>
      </c>
      <c r="J34" s="15"/>
      <c r="K34" s="15" t="str">
        <f t="shared" si="15"/>
        <v>RNWElec-04</v>
      </c>
      <c r="L34" s="15" t="str">
        <f t="shared" si="16"/>
        <v>Renewable Electricity Step - 04</v>
      </c>
      <c r="M34" s="15" t="s">
        <v>46</v>
      </c>
      <c r="N34" s="15" t="s">
        <v>47</v>
      </c>
      <c r="O34" s="15"/>
      <c r="P34" s="15"/>
      <c r="Q34" s="15"/>
      <c r="S34" t="str">
        <f t="shared" si="17"/>
        <v>RNWElec-04</v>
      </c>
      <c r="U34" t="str">
        <f t="shared" si="18"/>
        <v>ELCREN</v>
      </c>
      <c r="V34">
        <f t="shared" si="9"/>
        <v>5.0000000000000044E-2</v>
      </c>
      <c r="W34" s="13">
        <f t="shared" si="9"/>
        <v>0.01</v>
      </c>
      <c r="X34" s="13">
        <f t="shared" si="19"/>
        <v>5.0000000000000044E-2</v>
      </c>
      <c r="Y34" s="13"/>
    </row>
    <row r="35" spans="1:25" x14ac:dyDescent="0.25">
      <c r="A35" s="3" t="s">
        <v>16</v>
      </c>
      <c r="C35" s="9" t="str">
        <f t="shared" si="10"/>
        <v>RNWElec-05</v>
      </c>
      <c r="D35">
        <f t="shared" si="11"/>
        <v>5.0000000000000044E-2</v>
      </c>
      <c r="E35" s="1">
        <f t="shared" si="12"/>
        <v>0.01</v>
      </c>
      <c r="F35" s="1">
        <f t="shared" si="13"/>
        <v>1.0510100501E-2</v>
      </c>
      <c r="G35" s="1">
        <f t="shared" si="14"/>
        <v>1.1046221254112048E-2</v>
      </c>
      <c r="J35" s="15"/>
      <c r="K35" s="15" t="str">
        <f t="shared" si="15"/>
        <v>RNWElec-05</v>
      </c>
      <c r="L35" s="15" t="str">
        <f t="shared" si="16"/>
        <v>Renewable Electricity Step - 05</v>
      </c>
      <c r="M35" s="15" t="s">
        <v>46</v>
      </c>
      <c r="N35" s="15" t="s">
        <v>47</v>
      </c>
      <c r="O35" s="15"/>
      <c r="P35" s="15"/>
      <c r="Q35" s="15"/>
      <c r="S35" t="str">
        <f t="shared" si="17"/>
        <v>RNWElec-05</v>
      </c>
      <c r="U35" t="str">
        <f t="shared" si="18"/>
        <v>ELCREN</v>
      </c>
      <c r="V35">
        <f t="shared" si="9"/>
        <v>5.0000000000000044E-2</v>
      </c>
      <c r="W35" s="13">
        <f t="shared" si="9"/>
        <v>0.01</v>
      </c>
      <c r="X35" s="13">
        <f t="shared" si="19"/>
        <v>5.0000000000000044E-2</v>
      </c>
      <c r="Y35" s="13"/>
    </row>
    <row r="36" spans="1:25" x14ac:dyDescent="0.25">
      <c r="A36" s="3" t="s">
        <v>17</v>
      </c>
      <c r="C36" s="9" t="str">
        <f t="shared" si="10"/>
        <v>RNWElec-06</v>
      </c>
      <c r="D36">
        <f t="shared" si="11"/>
        <v>5.0000000000000044E-2</v>
      </c>
      <c r="E36" s="1">
        <f t="shared" si="12"/>
        <v>0.01</v>
      </c>
      <c r="F36" s="1">
        <f t="shared" si="13"/>
        <v>1.0510100501E-2</v>
      </c>
      <c r="G36" s="1">
        <f t="shared" si="14"/>
        <v>1.1046221254112048E-2</v>
      </c>
      <c r="J36" s="15"/>
      <c r="K36" s="15" t="str">
        <f t="shared" si="15"/>
        <v>RNWElec-06</v>
      </c>
      <c r="L36" s="15" t="str">
        <f t="shared" si="16"/>
        <v>Renewable Electricity Step - 06</v>
      </c>
      <c r="M36" s="15" t="s">
        <v>46</v>
      </c>
      <c r="N36" s="15" t="s">
        <v>47</v>
      </c>
      <c r="O36" s="15"/>
      <c r="P36" s="15"/>
      <c r="Q36" s="15"/>
      <c r="S36" t="str">
        <f t="shared" si="17"/>
        <v>RNWElec-06</v>
      </c>
      <c r="U36" t="str">
        <f t="shared" si="18"/>
        <v>ELCREN</v>
      </c>
      <c r="V36">
        <f t="shared" si="9"/>
        <v>5.0000000000000044E-2</v>
      </c>
      <c r="W36" s="13">
        <f t="shared" si="9"/>
        <v>0.01</v>
      </c>
      <c r="X36" s="13">
        <f t="shared" si="19"/>
        <v>5.0000000000000044E-2</v>
      </c>
      <c r="Y36" s="13"/>
    </row>
    <row r="37" spans="1:25" x14ac:dyDescent="0.25">
      <c r="A37" s="3" t="s">
        <v>18</v>
      </c>
      <c r="C37" s="9" t="str">
        <f t="shared" si="10"/>
        <v>RNWElec-07</v>
      </c>
      <c r="D37">
        <f t="shared" si="11"/>
        <v>5.0000000000000044E-2</v>
      </c>
      <c r="E37" s="1">
        <f t="shared" si="12"/>
        <v>0.01</v>
      </c>
      <c r="F37" s="1">
        <f t="shared" si="13"/>
        <v>1.0510100501E-2</v>
      </c>
      <c r="G37" s="1">
        <f t="shared" si="14"/>
        <v>1.1046221254112048E-2</v>
      </c>
      <c r="J37" s="15"/>
      <c r="K37" s="15" t="str">
        <f t="shared" si="15"/>
        <v>RNWElec-07</v>
      </c>
      <c r="L37" s="15" t="str">
        <f t="shared" si="16"/>
        <v>Renewable Electricity Step - 07</v>
      </c>
      <c r="M37" s="15" t="s">
        <v>46</v>
      </c>
      <c r="N37" s="15" t="s">
        <v>47</v>
      </c>
      <c r="O37" s="15"/>
      <c r="P37" s="15"/>
      <c r="Q37" s="15"/>
      <c r="S37" t="str">
        <f t="shared" si="17"/>
        <v>RNWElec-07</v>
      </c>
      <c r="U37" t="str">
        <f t="shared" si="18"/>
        <v>ELCREN</v>
      </c>
      <c r="V37">
        <f t="shared" si="9"/>
        <v>5.0000000000000044E-2</v>
      </c>
      <c r="W37" s="13">
        <f t="shared" si="9"/>
        <v>0.01</v>
      </c>
      <c r="X37" s="13">
        <f t="shared" si="19"/>
        <v>5.0000000000000044E-2</v>
      </c>
      <c r="Y37" s="13"/>
    </row>
    <row r="38" spans="1:25" x14ac:dyDescent="0.25">
      <c r="A38" s="3" t="s">
        <v>19</v>
      </c>
      <c r="C38" s="9" t="str">
        <f t="shared" si="10"/>
        <v>RNWElec-08</v>
      </c>
      <c r="D38">
        <f t="shared" si="11"/>
        <v>5.0000000000000044E-2</v>
      </c>
      <c r="E38" s="1">
        <f t="shared" si="12"/>
        <v>0.01</v>
      </c>
      <c r="F38" s="1">
        <f t="shared" si="13"/>
        <v>1.0510100501E-2</v>
      </c>
      <c r="G38" s="1">
        <f t="shared" si="14"/>
        <v>1.1046221254112048E-2</v>
      </c>
      <c r="J38" s="15"/>
      <c r="K38" s="15" t="str">
        <f t="shared" si="15"/>
        <v>RNWElec-08</v>
      </c>
      <c r="L38" s="15" t="str">
        <f t="shared" si="16"/>
        <v>Renewable Electricity Step - 08</v>
      </c>
      <c r="M38" s="15" t="s">
        <v>46</v>
      </c>
      <c r="N38" s="15" t="s">
        <v>47</v>
      </c>
      <c r="O38" s="15"/>
      <c r="P38" s="15"/>
      <c r="Q38" s="15"/>
      <c r="S38" t="str">
        <f t="shared" si="17"/>
        <v>RNWElec-08</v>
      </c>
      <c r="U38" t="str">
        <f t="shared" si="18"/>
        <v>ELCREN</v>
      </c>
      <c r="V38">
        <f t="shared" si="9"/>
        <v>5.0000000000000044E-2</v>
      </c>
      <c r="W38" s="13">
        <f t="shared" si="9"/>
        <v>0.01</v>
      </c>
      <c r="X38" s="13">
        <f t="shared" si="19"/>
        <v>5.0000000000000044E-2</v>
      </c>
      <c r="Y38" s="13"/>
    </row>
    <row r="39" spans="1:25" x14ac:dyDescent="0.25">
      <c r="A39" s="3" t="s">
        <v>20</v>
      </c>
      <c r="C39" s="9" t="str">
        <f t="shared" si="10"/>
        <v>RNWElec-09</v>
      </c>
      <c r="D39">
        <f t="shared" si="11"/>
        <v>5.0000000000000044E-2</v>
      </c>
      <c r="E39" s="1">
        <f t="shared" si="12"/>
        <v>0.01</v>
      </c>
      <c r="F39" s="1">
        <f t="shared" si="13"/>
        <v>1.0510100501E-2</v>
      </c>
      <c r="G39" s="1">
        <f t="shared" si="14"/>
        <v>1.1046221254112048E-2</v>
      </c>
      <c r="J39" s="15"/>
      <c r="K39" s="15" t="str">
        <f t="shared" si="15"/>
        <v>RNWElec-09</v>
      </c>
      <c r="L39" s="15" t="str">
        <f t="shared" si="16"/>
        <v>Renewable Electricity Step - 09</v>
      </c>
      <c r="M39" s="15" t="s">
        <v>46</v>
      </c>
      <c r="N39" s="15" t="s">
        <v>47</v>
      </c>
      <c r="O39" s="15"/>
      <c r="P39" s="15"/>
      <c r="Q39" s="15"/>
      <c r="S39" t="str">
        <f t="shared" si="17"/>
        <v>RNWElec-09</v>
      </c>
      <c r="U39" t="str">
        <f t="shared" si="18"/>
        <v>ELCREN</v>
      </c>
      <c r="V39">
        <f t="shared" si="9"/>
        <v>5.0000000000000044E-2</v>
      </c>
      <c r="W39" s="13">
        <f t="shared" si="9"/>
        <v>0.01</v>
      </c>
      <c r="X39" s="13">
        <f t="shared" si="19"/>
        <v>5.0000000000000044E-2</v>
      </c>
      <c r="Y39" s="13"/>
    </row>
    <row r="40" spans="1:25" x14ac:dyDescent="0.25">
      <c r="A40" s="3" t="s">
        <v>21</v>
      </c>
      <c r="C40" s="9" t="str">
        <f t="shared" si="10"/>
        <v>RNWElec-10</v>
      </c>
      <c r="D40">
        <f t="shared" si="11"/>
        <v>5.0000000000000044E-2</v>
      </c>
      <c r="E40" s="1">
        <f t="shared" si="12"/>
        <v>0.01</v>
      </c>
      <c r="F40" s="1">
        <f t="shared" si="13"/>
        <v>1.0510100501E-2</v>
      </c>
      <c r="G40" s="1">
        <f t="shared" si="14"/>
        <v>1.1046221254112048E-2</v>
      </c>
      <c r="J40" s="15"/>
      <c r="K40" s="15" t="str">
        <f t="shared" si="15"/>
        <v>RNWElec-10</v>
      </c>
      <c r="L40" s="15" t="str">
        <f t="shared" si="16"/>
        <v>Renewable Electricity Step - 10</v>
      </c>
      <c r="M40" s="15" t="s">
        <v>46</v>
      </c>
      <c r="N40" s="15" t="s">
        <v>47</v>
      </c>
      <c r="O40" s="15"/>
      <c r="P40" s="15"/>
      <c r="Q40" s="15"/>
      <c r="S40" t="str">
        <f t="shared" si="17"/>
        <v>RNWElec-10</v>
      </c>
      <c r="U40" t="str">
        <f t="shared" si="18"/>
        <v>ELCREN</v>
      </c>
      <c r="V40">
        <f t="shared" si="9"/>
        <v>5.0000000000000044E-2</v>
      </c>
      <c r="W40" s="13">
        <f t="shared" si="9"/>
        <v>0.01</v>
      </c>
      <c r="X40" s="13">
        <f t="shared" si="19"/>
        <v>5.0000000000000044E-2</v>
      </c>
      <c r="Y40" s="13"/>
    </row>
    <row r="41" spans="1:25" x14ac:dyDescent="0.25">
      <c r="A41" s="3" t="s">
        <v>22</v>
      </c>
      <c r="C41" s="9" t="str">
        <f t="shared" si="10"/>
        <v>RNWElec-11</v>
      </c>
      <c r="D41" s="10">
        <f t="shared" si="11"/>
        <v>5.0000000000000044E-2</v>
      </c>
      <c r="E41" s="11">
        <f t="shared" si="12"/>
        <v>0.01</v>
      </c>
      <c r="F41" s="11">
        <f t="shared" si="13"/>
        <v>1.0510100501E-2</v>
      </c>
      <c r="G41" s="11">
        <f t="shared" si="14"/>
        <v>1.1046221254112048E-2</v>
      </c>
      <c r="J41" s="15"/>
      <c r="K41" s="15" t="str">
        <f t="shared" si="15"/>
        <v>RNWElec-11</v>
      </c>
      <c r="L41" s="15" t="str">
        <f t="shared" si="16"/>
        <v>Renewable Electricity Step - 11</v>
      </c>
      <c r="M41" s="15" t="s">
        <v>46</v>
      </c>
      <c r="N41" s="15" t="s">
        <v>47</v>
      </c>
      <c r="O41" s="15"/>
      <c r="P41" s="15"/>
      <c r="Q41" s="15"/>
      <c r="S41" t="str">
        <f t="shared" si="17"/>
        <v>RNWElec-11</v>
      </c>
      <c r="U41" t="str">
        <f t="shared" si="18"/>
        <v>ELCREN</v>
      </c>
      <c r="V41">
        <f t="shared" si="9"/>
        <v>5.0000000000000044E-2</v>
      </c>
      <c r="W41" s="13">
        <f t="shared" si="9"/>
        <v>0.01</v>
      </c>
      <c r="X41" s="13">
        <f t="shared" si="19"/>
        <v>5.0000000000000044E-2</v>
      </c>
      <c r="Y41" s="13"/>
    </row>
    <row r="42" spans="1:25" x14ac:dyDescent="0.25">
      <c r="A42" s="3" t="s">
        <v>23</v>
      </c>
      <c r="C42" s="9" t="str">
        <f t="shared" si="10"/>
        <v>RNWElec-12</v>
      </c>
      <c r="D42">
        <f t="shared" si="11"/>
        <v>0.10000000000000009</v>
      </c>
      <c r="E42" s="1">
        <f t="shared" si="12"/>
        <v>0.01</v>
      </c>
      <c r="F42" s="1">
        <f t="shared" si="13"/>
        <v>1.0510100501E-2</v>
      </c>
      <c r="G42" s="1">
        <f t="shared" si="14"/>
        <v>1.1046221254112048E-2</v>
      </c>
      <c r="J42" s="15"/>
      <c r="K42" s="15" t="str">
        <f t="shared" si="15"/>
        <v>RNWElec-12</v>
      </c>
      <c r="L42" s="15" t="str">
        <f t="shared" si="16"/>
        <v>Renewable Electricity Step - 12</v>
      </c>
      <c r="M42" s="15" t="s">
        <v>46</v>
      </c>
      <c r="N42" s="15" t="s">
        <v>47</v>
      </c>
      <c r="O42" s="15"/>
      <c r="P42" s="15"/>
      <c r="Q42" s="15"/>
      <c r="S42" t="str">
        <f t="shared" si="17"/>
        <v>RNWElec-12</v>
      </c>
      <c r="U42" t="str">
        <f t="shared" si="18"/>
        <v>ELCREN</v>
      </c>
      <c r="V42">
        <f t="shared" si="9"/>
        <v>0.10000000000000009</v>
      </c>
      <c r="W42" s="13">
        <f t="shared" si="9"/>
        <v>0.01</v>
      </c>
      <c r="X42" s="13">
        <f t="shared" si="19"/>
        <v>0.10000000000000009</v>
      </c>
      <c r="Y42" s="13"/>
    </row>
    <row r="43" spans="1:25" x14ac:dyDescent="0.25">
      <c r="A43" s="3" t="s">
        <v>24</v>
      </c>
      <c r="C43" s="9" t="str">
        <f t="shared" si="10"/>
        <v>RNWElec-13</v>
      </c>
      <c r="D43">
        <f t="shared" si="11"/>
        <v>0.10000000000000009</v>
      </c>
      <c r="E43" s="1">
        <f t="shared" si="12"/>
        <v>0.01</v>
      </c>
      <c r="F43" s="1">
        <f t="shared" si="13"/>
        <v>1.0510100501E-2</v>
      </c>
      <c r="G43" s="1">
        <f t="shared" si="14"/>
        <v>1.1046221254112048E-2</v>
      </c>
      <c r="J43" s="15"/>
      <c r="K43" s="15" t="str">
        <f t="shared" si="15"/>
        <v>RNWElec-13</v>
      </c>
      <c r="L43" s="15" t="str">
        <f t="shared" si="16"/>
        <v>Renewable Electricity Step - 13</v>
      </c>
      <c r="M43" s="15" t="s">
        <v>46</v>
      </c>
      <c r="N43" s="15" t="s">
        <v>47</v>
      </c>
      <c r="O43" s="15"/>
      <c r="P43" s="15"/>
      <c r="Q43" s="15"/>
      <c r="S43" t="str">
        <f t="shared" si="17"/>
        <v>RNWElec-13</v>
      </c>
      <c r="U43" t="str">
        <f t="shared" si="18"/>
        <v>ELCREN</v>
      </c>
      <c r="V43">
        <f t="shared" si="9"/>
        <v>0.10000000000000009</v>
      </c>
      <c r="W43" s="13">
        <f t="shared" si="9"/>
        <v>0.01</v>
      </c>
      <c r="X43" s="13">
        <f t="shared" si="19"/>
        <v>0.10000000000000009</v>
      </c>
      <c r="Y43" s="13"/>
    </row>
    <row r="44" spans="1:25" x14ac:dyDescent="0.25">
      <c r="A44" s="3" t="s">
        <v>25</v>
      </c>
      <c r="C44" s="9" t="str">
        <f t="shared" si="10"/>
        <v>RNWElec-14</v>
      </c>
      <c r="D44">
        <f t="shared" si="11"/>
        <v>0.10000000000000009</v>
      </c>
      <c r="E44" s="1">
        <f t="shared" si="12"/>
        <v>0.01</v>
      </c>
      <c r="F44" s="1">
        <f t="shared" si="13"/>
        <v>1.0510100501E-2</v>
      </c>
      <c r="G44" s="1">
        <f t="shared" si="14"/>
        <v>1.1046221254112048E-2</v>
      </c>
      <c r="J44" s="15"/>
      <c r="K44" s="15" t="str">
        <f t="shared" si="15"/>
        <v>RNWElec-14</v>
      </c>
      <c r="L44" s="15" t="str">
        <f t="shared" si="16"/>
        <v>Renewable Electricity Step - 14</v>
      </c>
      <c r="M44" s="15" t="s">
        <v>46</v>
      </c>
      <c r="N44" s="15" t="s">
        <v>47</v>
      </c>
      <c r="O44" s="15"/>
      <c r="P44" s="15"/>
      <c r="Q44" s="15"/>
      <c r="S44" t="str">
        <f t="shared" si="17"/>
        <v>RNWElec-14</v>
      </c>
      <c r="U44" t="str">
        <f t="shared" si="18"/>
        <v>ELCREN</v>
      </c>
      <c r="V44">
        <f t="shared" si="9"/>
        <v>0.10000000000000009</v>
      </c>
      <c r="W44" s="13">
        <f t="shared" si="9"/>
        <v>0.01</v>
      </c>
      <c r="X44" s="13">
        <f t="shared" si="19"/>
        <v>0.10000000000000009</v>
      </c>
      <c r="Y44" s="13"/>
    </row>
    <row r="45" spans="1:25" x14ac:dyDescent="0.25">
      <c r="A45" s="3" t="s">
        <v>26</v>
      </c>
      <c r="C45" s="9" t="str">
        <f t="shared" si="10"/>
        <v>RNWElec-15</v>
      </c>
      <c r="D45">
        <f t="shared" si="11"/>
        <v>0.10000000000000009</v>
      </c>
      <c r="E45" s="1">
        <f t="shared" si="12"/>
        <v>0.01</v>
      </c>
      <c r="F45" s="1">
        <f t="shared" si="13"/>
        <v>1.0510100501E-2</v>
      </c>
      <c r="G45" s="1">
        <f t="shared" si="14"/>
        <v>1.1046221254112048E-2</v>
      </c>
      <c r="J45" s="15"/>
      <c r="K45" s="15" t="str">
        <f t="shared" si="15"/>
        <v>RNWElec-15</v>
      </c>
      <c r="L45" s="15" t="str">
        <f t="shared" si="16"/>
        <v>Renewable Electricity Step - 15</v>
      </c>
      <c r="M45" s="15" t="s">
        <v>46</v>
      </c>
      <c r="N45" s="15" t="s">
        <v>47</v>
      </c>
      <c r="O45" s="15"/>
      <c r="P45" s="15"/>
      <c r="Q45" s="15"/>
      <c r="S45" t="str">
        <f t="shared" si="17"/>
        <v>RNWElec-15</v>
      </c>
      <c r="U45" t="str">
        <f t="shared" si="18"/>
        <v>ELCREN</v>
      </c>
      <c r="V45">
        <f t="shared" si="9"/>
        <v>0.10000000000000009</v>
      </c>
      <c r="W45" s="13">
        <f t="shared" si="9"/>
        <v>0.01</v>
      </c>
      <c r="X45" s="13">
        <f t="shared" si="19"/>
        <v>0.10000000000000009</v>
      </c>
      <c r="Y45" s="13"/>
    </row>
    <row r="46" spans="1:25" x14ac:dyDescent="0.25">
      <c r="A46" s="3" t="s">
        <v>27</v>
      </c>
      <c r="C46" s="9" t="str">
        <f t="shared" si="10"/>
        <v>RNWElec-16</v>
      </c>
      <c r="D46">
        <f t="shared" si="11"/>
        <v>0.10000000000000009</v>
      </c>
      <c r="E46" s="1">
        <f t="shared" ref="E46:G51" si="20">T17</f>
        <v>0.01</v>
      </c>
      <c r="F46" s="1">
        <f t="shared" si="20"/>
        <v>1.0510100501E-2</v>
      </c>
      <c r="G46" s="1">
        <f t="shared" si="20"/>
        <v>1.1046221254112048E-2</v>
      </c>
      <c r="J46" s="15"/>
      <c r="K46" s="15" t="str">
        <f t="shared" si="15"/>
        <v>RNWElec-16</v>
      </c>
      <c r="L46" s="15" t="str">
        <f t="shared" si="16"/>
        <v>Renewable Electricity Step - 16</v>
      </c>
      <c r="M46" s="15" t="s">
        <v>46</v>
      </c>
      <c r="N46" s="15" t="s">
        <v>47</v>
      </c>
      <c r="O46" s="15"/>
      <c r="P46" s="15"/>
      <c r="Q46" s="15"/>
      <c r="S46" t="str">
        <f t="shared" si="17"/>
        <v>RNWElec-16</v>
      </c>
      <c r="U46" t="str">
        <f t="shared" si="18"/>
        <v>ELCREN</v>
      </c>
      <c r="V46">
        <f t="shared" si="9"/>
        <v>0.10000000000000009</v>
      </c>
      <c r="W46" s="13">
        <f t="shared" si="9"/>
        <v>0.01</v>
      </c>
      <c r="X46" s="13">
        <f t="shared" si="19"/>
        <v>0.10000000000000009</v>
      </c>
      <c r="Y46" s="13"/>
    </row>
    <row r="47" spans="1:25" x14ac:dyDescent="0.25">
      <c r="A47" s="3" t="s">
        <v>28</v>
      </c>
      <c r="C47" s="9" t="str">
        <f t="shared" si="10"/>
        <v>RNWElec-17</v>
      </c>
      <c r="D47">
        <f t="shared" si="11"/>
        <v>0.10000000000000009</v>
      </c>
      <c r="E47" s="1">
        <f t="shared" si="20"/>
        <v>0.01</v>
      </c>
      <c r="F47" s="1">
        <f t="shared" si="20"/>
        <v>1.0510100501E-2</v>
      </c>
      <c r="G47" s="1">
        <f t="shared" si="20"/>
        <v>1.1046221254112048E-2</v>
      </c>
      <c r="J47" s="15"/>
      <c r="K47" s="15" t="str">
        <f t="shared" si="15"/>
        <v>RNWElec-17</v>
      </c>
      <c r="L47" s="15" t="str">
        <f t="shared" si="16"/>
        <v>Renewable Electricity Step - 17</v>
      </c>
      <c r="M47" s="15" t="s">
        <v>46</v>
      </c>
      <c r="N47" s="15" t="s">
        <v>47</v>
      </c>
      <c r="O47" s="15"/>
      <c r="P47" s="15"/>
      <c r="Q47" s="15"/>
      <c r="S47" t="str">
        <f t="shared" si="17"/>
        <v>RNWElec-17</v>
      </c>
      <c r="U47" t="str">
        <f t="shared" si="18"/>
        <v>ELCREN</v>
      </c>
      <c r="V47">
        <f t="shared" si="9"/>
        <v>0.10000000000000009</v>
      </c>
      <c r="W47" s="13">
        <f t="shared" si="9"/>
        <v>0.01</v>
      </c>
      <c r="X47" s="13">
        <f t="shared" si="19"/>
        <v>0.10000000000000009</v>
      </c>
      <c r="Y47" s="13"/>
    </row>
    <row r="48" spans="1:25" x14ac:dyDescent="0.25">
      <c r="A48" s="3" t="s">
        <v>29</v>
      </c>
      <c r="C48" s="9" t="str">
        <f t="shared" si="10"/>
        <v>RNWElec-18</v>
      </c>
      <c r="D48">
        <f t="shared" si="11"/>
        <v>0.10000000000000009</v>
      </c>
      <c r="E48" s="1">
        <f t="shared" si="20"/>
        <v>0.01</v>
      </c>
      <c r="F48" s="1">
        <f t="shared" si="20"/>
        <v>1.0510100501E-2</v>
      </c>
      <c r="G48" s="1">
        <f t="shared" si="20"/>
        <v>1.1046221254112048E-2</v>
      </c>
      <c r="J48" s="15"/>
      <c r="K48" s="15" t="str">
        <f t="shared" si="15"/>
        <v>RNWElec-18</v>
      </c>
      <c r="L48" s="15" t="str">
        <f t="shared" si="16"/>
        <v>Renewable Electricity Step - 18</v>
      </c>
      <c r="M48" s="15" t="s">
        <v>46</v>
      </c>
      <c r="N48" s="15" t="s">
        <v>47</v>
      </c>
      <c r="O48" s="15"/>
      <c r="P48" s="15"/>
      <c r="Q48" s="15"/>
      <c r="S48" t="str">
        <f t="shared" si="17"/>
        <v>RNWElec-18</v>
      </c>
      <c r="U48" t="str">
        <f t="shared" si="18"/>
        <v>ELCREN</v>
      </c>
      <c r="V48">
        <f t="shared" si="9"/>
        <v>0.10000000000000009</v>
      </c>
      <c r="W48" s="13">
        <f t="shared" si="9"/>
        <v>0.01</v>
      </c>
      <c r="X48" s="13">
        <f t="shared" si="19"/>
        <v>0.10000000000000009</v>
      </c>
      <c r="Y48" s="13"/>
    </row>
    <row r="49" spans="1:25" x14ac:dyDescent="0.25">
      <c r="A49" s="3" t="s">
        <v>30</v>
      </c>
      <c r="C49" s="9" t="str">
        <f t="shared" si="10"/>
        <v>RNWElec-19</v>
      </c>
      <c r="D49">
        <f t="shared" si="11"/>
        <v>0.10000000000000009</v>
      </c>
      <c r="E49" s="1">
        <f t="shared" si="20"/>
        <v>0.01</v>
      </c>
      <c r="F49" s="1">
        <f t="shared" si="20"/>
        <v>1.0510100501E-2</v>
      </c>
      <c r="G49" s="1">
        <f t="shared" si="20"/>
        <v>1.1046221254112048E-2</v>
      </c>
      <c r="J49" s="15"/>
      <c r="K49" s="15" t="str">
        <f t="shared" si="15"/>
        <v>RNWElec-19</v>
      </c>
      <c r="L49" s="15" t="str">
        <f t="shared" si="16"/>
        <v>Renewable Electricity Step - 19</v>
      </c>
      <c r="M49" s="15" t="s">
        <v>46</v>
      </c>
      <c r="N49" s="15" t="s">
        <v>47</v>
      </c>
      <c r="O49" s="15"/>
      <c r="P49" s="15"/>
      <c r="Q49" s="15"/>
      <c r="S49" t="str">
        <f t="shared" si="17"/>
        <v>RNWElec-19</v>
      </c>
      <c r="U49" t="str">
        <f t="shared" si="18"/>
        <v>ELCREN</v>
      </c>
      <c r="V49">
        <f t="shared" si="9"/>
        <v>0.10000000000000009</v>
      </c>
      <c r="W49" s="13">
        <f t="shared" si="9"/>
        <v>0.01</v>
      </c>
      <c r="X49" s="13">
        <f t="shared" si="19"/>
        <v>0.10000000000000009</v>
      </c>
      <c r="Y49" s="13"/>
    </row>
    <row r="50" spans="1:25" x14ac:dyDescent="0.25">
      <c r="A50" s="3" t="s">
        <v>31</v>
      </c>
      <c r="C50" s="9" t="str">
        <f t="shared" si="10"/>
        <v>RNWElec-20</v>
      </c>
      <c r="D50">
        <f t="shared" si="11"/>
        <v>0.10000000000000009</v>
      </c>
      <c r="E50" s="1">
        <f t="shared" si="20"/>
        <v>0.01</v>
      </c>
      <c r="F50" s="1">
        <f t="shared" si="20"/>
        <v>1.0510100501E-2</v>
      </c>
      <c r="G50" s="1">
        <f t="shared" si="20"/>
        <v>1.1046221254112048E-2</v>
      </c>
      <c r="J50" s="15"/>
      <c r="K50" s="15" t="str">
        <f t="shared" si="15"/>
        <v>RNWElec-20</v>
      </c>
      <c r="L50" s="15" t="str">
        <f t="shared" si="16"/>
        <v>Renewable Electricity Step - 20</v>
      </c>
      <c r="M50" s="15" t="s">
        <v>46</v>
      </c>
      <c r="N50" s="15" t="s">
        <v>47</v>
      </c>
      <c r="O50" s="15"/>
      <c r="P50" s="15"/>
      <c r="Q50" s="15"/>
      <c r="S50" t="str">
        <f t="shared" si="17"/>
        <v>RNWElec-20</v>
      </c>
      <c r="U50" t="str">
        <f t="shared" si="18"/>
        <v>ELCREN</v>
      </c>
      <c r="V50">
        <f t="shared" si="9"/>
        <v>0.10000000000000009</v>
      </c>
      <c r="W50" s="13">
        <f t="shared" si="9"/>
        <v>0.01</v>
      </c>
      <c r="X50" s="13">
        <f t="shared" si="19"/>
        <v>0.10000000000000009</v>
      </c>
      <c r="Y50" s="13"/>
    </row>
    <row r="51" spans="1:25" x14ac:dyDescent="0.25">
      <c r="A51" s="3" t="s">
        <v>32</v>
      </c>
      <c r="C51" s="9" t="str">
        <f t="shared" si="10"/>
        <v>RNWElec-21</v>
      </c>
      <c r="D51">
        <f t="shared" si="11"/>
        <v>0.10000000000000009</v>
      </c>
      <c r="E51" s="1">
        <f t="shared" si="20"/>
        <v>0.01</v>
      </c>
      <c r="F51" s="1">
        <f t="shared" si="20"/>
        <v>1.0510100501E-2</v>
      </c>
      <c r="G51" s="1">
        <f t="shared" si="20"/>
        <v>1.1046221254112048E-2</v>
      </c>
      <c r="J51" s="15"/>
      <c r="K51" s="15" t="str">
        <f t="shared" si="15"/>
        <v>RNWElec-21</v>
      </c>
      <c r="L51" s="15" t="str">
        <f t="shared" si="16"/>
        <v>Renewable Electricity Step - 21</v>
      </c>
      <c r="M51" s="15" t="s">
        <v>46</v>
      </c>
      <c r="N51" s="15" t="s">
        <v>47</v>
      </c>
      <c r="O51" s="15"/>
      <c r="P51" s="15"/>
      <c r="Q51" s="15"/>
      <c r="S51" t="str">
        <f t="shared" si="17"/>
        <v>RNWElec-21</v>
      </c>
      <c r="U51" t="str">
        <f t="shared" si="18"/>
        <v>ELCREN</v>
      </c>
      <c r="V51">
        <f t="shared" si="9"/>
        <v>0.10000000000000009</v>
      </c>
      <c r="W51" s="13">
        <f t="shared" si="9"/>
        <v>0.01</v>
      </c>
      <c r="X51" s="13"/>
      <c r="Y51" s="13"/>
    </row>
  </sheetData>
  <mergeCells count="3">
    <mergeCell ref="B7:B9"/>
    <mergeCell ref="B10:B12"/>
    <mergeCell ref="E27:G27"/>
  </mergeCells>
  <pageMargins left="0.7" right="0.7" top="0.75" bottom="0.75" header="0.3" footer="0.3"/>
  <pageSetup orientation="portrait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9"/>
  <sheetViews>
    <sheetView workbookViewId="0">
      <selection activeCell="D9" sqref="D9"/>
    </sheetView>
  </sheetViews>
  <sheetFormatPr defaultColWidth="8.85546875" defaultRowHeight="15" x14ac:dyDescent="0.25"/>
  <cols>
    <col min="1" max="1" width="20.7109375" bestFit="1" customWidth="1"/>
    <col min="2" max="2" width="3.42578125" bestFit="1" customWidth="1"/>
    <col min="3" max="3" width="16.28515625" bestFit="1" customWidth="1"/>
    <col min="4" max="4" width="9.28515625" bestFit="1" customWidth="1"/>
    <col min="5" max="5" width="6.85546875" bestFit="1" customWidth="1"/>
    <col min="6" max="6" width="8.85546875" bestFit="1" customWidth="1"/>
    <col min="7" max="7" width="9.85546875" bestFit="1" customWidth="1"/>
    <col min="8" max="10" width="8.85546875" customWidth="1"/>
    <col min="11" max="11" width="10.7109375" bestFit="1" customWidth="1"/>
    <col min="12" max="12" width="20.42578125" bestFit="1" customWidth="1"/>
    <col min="13" max="13" width="4.42578125" bestFit="1" customWidth="1"/>
    <col min="14" max="14" width="5.28515625" bestFit="1" customWidth="1"/>
    <col min="15" max="15" width="5" bestFit="1" customWidth="1"/>
    <col min="16" max="16" width="10.28515625" bestFit="1" customWidth="1"/>
    <col min="17" max="17" width="7.85546875" bestFit="1" customWidth="1"/>
    <col min="18" max="18" width="8.85546875" customWidth="1"/>
    <col min="19" max="19" width="11.28515625" bestFit="1" customWidth="1"/>
    <col min="20" max="20" width="9.42578125" bestFit="1" customWidth="1"/>
    <col min="21" max="21" width="10.42578125" customWidth="1"/>
    <col min="22" max="22" width="9.28515625" bestFit="1" customWidth="1"/>
    <col min="23" max="23" width="5" bestFit="1" customWidth="1"/>
    <col min="24" max="24" width="14.42578125" bestFit="1" customWidth="1"/>
    <col min="25" max="25" width="5" bestFit="1" customWidth="1"/>
  </cols>
  <sheetData>
    <row r="1" spans="1:22" x14ac:dyDescent="0.25">
      <c r="A1" s="12" t="s">
        <v>54</v>
      </c>
      <c r="T1" s="18">
        <f>'Gas-Min'!$T$1</f>
        <v>2010</v>
      </c>
      <c r="U1" s="18">
        <f>'Gas-Min'!$U$1</f>
        <v>2020</v>
      </c>
      <c r="V1" s="18">
        <f>'Gas-Min'!$V$1</f>
        <v>2030</v>
      </c>
    </row>
    <row r="2" spans="1:22" x14ac:dyDescent="0.25">
      <c r="A2" s="12" t="s">
        <v>59</v>
      </c>
      <c r="C2" s="7" t="s">
        <v>60</v>
      </c>
      <c r="D2" t="s">
        <v>8</v>
      </c>
      <c r="E2" t="s">
        <v>9</v>
      </c>
      <c r="R2">
        <f t="shared" ref="R2:R10" si="0">R3+($E$10-$D$10)/($D$12-1)</f>
        <v>4.0000000000000036</v>
      </c>
      <c r="S2">
        <f t="shared" ref="S2:S11" si="1">S3-$D$11</f>
        <v>0.49999999999999961</v>
      </c>
      <c r="T2" s="13">
        <f t="shared" ref="T2:T11" si="2">ROUND((S2-$S$12)/$S$12/R2*$T$12+$T$12,2)</f>
        <v>0.88</v>
      </c>
      <c r="U2" s="13">
        <f t="shared" ref="U2:U22" si="3">T2*(1+$D$14)^5</f>
        <v>0.92488884408799998</v>
      </c>
      <c r="V2" s="13">
        <f t="shared" ref="V2:V22" si="4">T2*(1+$D$14)^10</f>
        <v>0.97206747036186014</v>
      </c>
    </row>
    <row r="3" spans="1:22" x14ac:dyDescent="0.25">
      <c r="D3" s="4">
        <v>1</v>
      </c>
      <c r="E3" s="4">
        <v>1</v>
      </c>
      <c r="R3">
        <f t="shared" si="0"/>
        <v>4.1111111111111143</v>
      </c>
      <c r="S3">
        <f t="shared" si="1"/>
        <v>0.5499999999999996</v>
      </c>
      <c r="T3" s="13">
        <f t="shared" si="2"/>
        <v>0.89</v>
      </c>
      <c r="U3" s="13">
        <f t="shared" si="3"/>
        <v>0.93539894458899997</v>
      </c>
      <c r="V3" s="13">
        <f t="shared" si="4"/>
        <v>0.98311369161597228</v>
      </c>
    </row>
    <row r="4" spans="1:22" x14ac:dyDescent="0.25">
      <c r="R4">
        <f t="shared" si="0"/>
        <v>4.222222222222225</v>
      </c>
      <c r="S4">
        <f t="shared" si="1"/>
        <v>0.59999999999999964</v>
      </c>
      <c r="T4" s="13">
        <f t="shared" si="2"/>
        <v>0.91</v>
      </c>
      <c r="U4" s="13">
        <f t="shared" si="3"/>
        <v>0.95641914559099994</v>
      </c>
      <c r="V4" s="13">
        <f t="shared" si="4"/>
        <v>1.0052061341241965</v>
      </c>
    </row>
    <row r="5" spans="1:22" x14ac:dyDescent="0.25">
      <c r="R5">
        <f t="shared" si="0"/>
        <v>4.3333333333333357</v>
      </c>
      <c r="S5">
        <f t="shared" si="1"/>
        <v>0.64999999999999969</v>
      </c>
      <c r="T5" s="13">
        <f t="shared" si="2"/>
        <v>0.92</v>
      </c>
      <c r="U5" s="13">
        <f t="shared" si="3"/>
        <v>0.96692924609199993</v>
      </c>
      <c r="V5" s="13">
        <f t="shared" si="4"/>
        <v>1.0162523553783085</v>
      </c>
    </row>
    <row r="6" spans="1:22" x14ac:dyDescent="0.25">
      <c r="D6" s="2" t="s">
        <v>10</v>
      </c>
      <c r="E6" s="2" t="s">
        <v>11</v>
      </c>
      <c r="R6">
        <f t="shared" si="0"/>
        <v>4.4444444444444464</v>
      </c>
      <c r="S6">
        <f t="shared" si="1"/>
        <v>0.69999999999999973</v>
      </c>
      <c r="T6" s="13">
        <f t="shared" si="2"/>
        <v>0.93</v>
      </c>
      <c r="U6" s="13">
        <f t="shared" si="3"/>
        <v>0.97743934659300002</v>
      </c>
      <c r="V6" s="13">
        <f t="shared" si="4"/>
        <v>1.0272985766324205</v>
      </c>
    </row>
    <row r="7" spans="1:22" x14ac:dyDescent="0.25">
      <c r="B7" s="25" t="s">
        <v>0</v>
      </c>
      <c r="C7" t="s">
        <v>2</v>
      </c>
      <c r="D7" s="4">
        <v>5</v>
      </c>
      <c r="E7" s="4">
        <v>5</v>
      </c>
      <c r="R7">
        <f t="shared" si="0"/>
        <v>4.5555555555555571</v>
      </c>
      <c r="S7">
        <f t="shared" si="1"/>
        <v>0.74999999999999978</v>
      </c>
      <c r="T7" s="13">
        <f t="shared" si="2"/>
        <v>0.95</v>
      </c>
      <c r="U7" s="13">
        <f t="shared" si="3"/>
        <v>0.99845954759499989</v>
      </c>
      <c r="V7" s="13">
        <f t="shared" si="4"/>
        <v>1.0493910191406444</v>
      </c>
    </row>
    <row r="8" spans="1:22" x14ac:dyDescent="0.25">
      <c r="B8" s="25"/>
      <c r="C8" t="s">
        <v>6</v>
      </c>
      <c r="D8" s="4">
        <v>0.1</v>
      </c>
      <c r="R8">
        <f t="shared" si="0"/>
        <v>4.6666666666666679</v>
      </c>
      <c r="S8">
        <f t="shared" si="1"/>
        <v>0.79999999999999982</v>
      </c>
      <c r="T8" s="13">
        <f t="shared" si="2"/>
        <v>0.96</v>
      </c>
      <c r="U8" s="13">
        <f t="shared" si="3"/>
        <v>1.008969648096</v>
      </c>
      <c r="V8" s="13">
        <f t="shared" si="4"/>
        <v>1.0604372403947566</v>
      </c>
    </row>
    <row r="9" spans="1:22" x14ac:dyDescent="0.25">
      <c r="B9" s="25"/>
      <c r="C9" t="s">
        <v>1</v>
      </c>
      <c r="D9" s="4">
        <v>10</v>
      </c>
      <c r="R9">
        <f t="shared" si="0"/>
        <v>4.7777777777777786</v>
      </c>
      <c r="S9">
        <f t="shared" si="1"/>
        <v>0.84999999999999987</v>
      </c>
      <c r="T9" s="13">
        <f t="shared" si="2"/>
        <v>0.97</v>
      </c>
      <c r="U9" s="13">
        <f t="shared" si="3"/>
        <v>1.019479748597</v>
      </c>
      <c r="V9" s="13">
        <f t="shared" si="4"/>
        <v>1.0714834616488687</v>
      </c>
    </row>
    <row r="10" spans="1:22" x14ac:dyDescent="0.25">
      <c r="B10" s="25" t="s">
        <v>3</v>
      </c>
      <c r="C10" t="s">
        <v>2</v>
      </c>
      <c r="D10" s="4">
        <f>D7</f>
        <v>5</v>
      </c>
      <c r="E10" s="4">
        <v>4</v>
      </c>
      <c r="R10">
        <f t="shared" si="0"/>
        <v>4.8888888888888893</v>
      </c>
      <c r="S10">
        <f t="shared" si="1"/>
        <v>0.89999999999999991</v>
      </c>
      <c r="T10" s="13">
        <f t="shared" si="2"/>
        <v>0.98</v>
      </c>
      <c r="U10" s="13">
        <f t="shared" si="3"/>
        <v>1.029989849098</v>
      </c>
      <c r="V10" s="13">
        <f t="shared" si="4"/>
        <v>1.0825296829029807</v>
      </c>
    </row>
    <row r="11" spans="1:22" x14ac:dyDescent="0.25">
      <c r="B11" s="25"/>
      <c r="C11" t="s">
        <v>6</v>
      </c>
      <c r="D11" s="4">
        <f>0.05*E3</f>
        <v>0.05</v>
      </c>
      <c r="R11">
        <f>D10</f>
        <v>5</v>
      </c>
      <c r="S11">
        <f t="shared" si="1"/>
        <v>0.95</v>
      </c>
      <c r="T11" s="13">
        <f t="shared" si="2"/>
        <v>0.99</v>
      </c>
      <c r="U11" s="13">
        <f t="shared" si="3"/>
        <v>1.0404999495989999</v>
      </c>
      <c r="V11" s="13">
        <f t="shared" si="4"/>
        <v>1.0935759041570927</v>
      </c>
    </row>
    <row r="12" spans="1:22" x14ac:dyDescent="0.25">
      <c r="B12" s="25"/>
      <c r="C12" t="s">
        <v>1</v>
      </c>
      <c r="D12" s="4">
        <v>10</v>
      </c>
      <c r="S12">
        <f>E3</f>
        <v>1</v>
      </c>
      <c r="T12" s="13">
        <f>D3</f>
        <v>1</v>
      </c>
      <c r="U12" s="13">
        <f t="shared" si="3"/>
        <v>1.0510100500999999</v>
      </c>
      <c r="V12" s="13">
        <f t="shared" si="4"/>
        <v>1.1046221254112047</v>
      </c>
    </row>
    <row r="13" spans="1:22" x14ac:dyDescent="0.25">
      <c r="R13">
        <f>D7</f>
        <v>5</v>
      </c>
      <c r="S13">
        <f t="shared" ref="S13:S22" si="5">S12+$D$8</f>
        <v>1.1000000000000001</v>
      </c>
      <c r="T13" s="13">
        <f t="shared" ref="T13:T22" si="6">ROUND((S13-$S$12)/$S$12/R13*$T$12+$T$12,2)</f>
        <v>1.02</v>
      </c>
      <c r="U13" s="13">
        <f t="shared" si="3"/>
        <v>1.0720302511019999</v>
      </c>
      <c r="V13" s="13">
        <f t="shared" si="4"/>
        <v>1.1267145679194288</v>
      </c>
    </row>
    <row r="14" spans="1:22" x14ac:dyDescent="0.25">
      <c r="C14" t="s">
        <v>7</v>
      </c>
      <c r="D14" s="14">
        <v>0.01</v>
      </c>
      <c r="R14">
        <f t="shared" ref="R14:R22" si="7">R13+($E$7-$D$7)/($D$9-1)</f>
        <v>5</v>
      </c>
      <c r="S14">
        <f t="shared" si="5"/>
        <v>1.2000000000000002</v>
      </c>
      <c r="T14" s="13">
        <f t="shared" si="6"/>
        <v>1.04</v>
      </c>
      <c r="U14" s="13">
        <f t="shared" si="3"/>
        <v>1.0930504521039999</v>
      </c>
      <c r="V14" s="13">
        <f t="shared" si="4"/>
        <v>1.1488070104276529</v>
      </c>
    </row>
    <row r="15" spans="1:22" x14ac:dyDescent="0.25">
      <c r="R15">
        <f t="shared" si="7"/>
        <v>5</v>
      </c>
      <c r="S15">
        <f t="shared" si="5"/>
        <v>1.3000000000000003</v>
      </c>
      <c r="T15" s="13">
        <f t="shared" si="6"/>
        <v>1.06</v>
      </c>
      <c r="U15" s="13">
        <f t="shared" si="3"/>
        <v>1.1140706531060001</v>
      </c>
      <c r="V15" s="13">
        <f t="shared" si="4"/>
        <v>1.1708994529358772</v>
      </c>
    </row>
    <row r="16" spans="1:22" x14ac:dyDescent="0.25">
      <c r="R16">
        <f t="shared" si="7"/>
        <v>5</v>
      </c>
      <c r="S16">
        <f t="shared" si="5"/>
        <v>1.4000000000000004</v>
      </c>
      <c r="T16" s="13">
        <f t="shared" si="6"/>
        <v>1.08</v>
      </c>
      <c r="U16" s="13">
        <f t="shared" si="3"/>
        <v>1.135090854108</v>
      </c>
      <c r="V16" s="13">
        <f t="shared" si="4"/>
        <v>1.1929918954441012</v>
      </c>
    </row>
    <row r="17" spans="1:25" x14ac:dyDescent="0.25">
      <c r="R17">
        <f t="shared" si="7"/>
        <v>5</v>
      </c>
      <c r="S17">
        <f t="shared" si="5"/>
        <v>1.5000000000000004</v>
      </c>
      <c r="T17" s="13">
        <f t="shared" si="6"/>
        <v>1.1000000000000001</v>
      </c>
      <c r="U17" s="13">
        <f t="shared" si="3"/>
        <v>1.15611105511</v>
      </c>
      <c r="V17" s="13">
        <f t="shared" si="4"/>
        <v>1.2150843379523253</v>
      </c>
    </row>
    <row r="18" spans="1:25" x14ac:dyDescent="0.25">
      <c r="R18">
        <f t="shared" si="7"/>
        <v>5</v>
      </c>
      <c r="S18">
        <f t="shared" si="5"/>
        <v>1.6000000000000005</v>
      </c>
      <c r="T18" s="13">
        <f t="shared" si="6"/>
        <v>1.1200000000000001</v>
      </c>
      <c r="U18" s="13">
        <f t="shared" si="3"/>
        <v>1.177131256112</v>
      </c>
      <c r="V18" s="13">
        <f t="shared" si="4"/>
        <v>1.2371767804605494</v>
      </c>
    </row>
    <row r="19" spans="1:25" x14ac:dyDescent="0.25">
      <c r="R19">
        <f t="shared" si="7"/>
        <v>5</v>
      </c>
      <c r="S19">
        <f t="shared" si="5"/>
        <v>1.7000000000000006</v>
      </c>
      <c r="T19" s="13">
        <f t="shared" si="6"/>
        <v>1.1399999999999999</v>
      </c>
      <c r="U19" s="13">
        <f t="shared" si="3"/>
        <v>1.1981514571139997</v>
      </c>
      <c r="V19" s="13">
        <f t="shared" si="4"/>
        <v>1.2592692229687732</v>
      </c>
    </row>
    <row r="20" spans="1:25" x14ac:dyDescent="0.25">
      <c r="R20">
        <f t="shared" si="7"/>
        <v>5</v>
      </c>
      <c r="S20">
        <f t="shared" si="5"/>
        <v>1.8000000000000007</v>
      </c>
      <c r="T20" s="13">
        <f t="shared" si="6"/>
        <v>1.1599999999999999</v>
      </c>
      <c r="U20" s="13">
        <f t="shared" si="3"/>
        <v>1.2191716581159999</v>
      </c>
      <c r="V20" s="13">
        <f t="shared" si="4"/>
        <v>1.2813616654769975</v>
      </c>
    </row>
    <row r="21" spans="1:25" x14ac:dyDescent="0.25">
      <c r="R21">
        <f t="shared" si="7"/>
        <v>5</v>
      </c>
      <c r="S21">
        <f t="shared" si="5"/>
        <v>1.9000000000000008</v>
      </c>
      <c r="T21" s="13">
        <f t="shared" si="6"/>
        <v>1.18</v>
      </c>
      <c r="U21" s="13">
        <f t="shared" si="3"/>
        <v>1.2401918591179999</v>
      </c>
      <c r="V21" s="13">
        <f t="shared" si="4"/>
        <v>1.3034541079852215</v>
      </c>
    </row>
    <row r="22" spans="1:25" x14ac:dyDescent="0.25">
      <c r="R22">
        <f t="shared" si="7"/>
        <v>5</v>
      </c>
      <c r="S22">
        <f t="shared" si="5"/>
        <v>2.0000000000000009</v>
      </c>
      <c r="T22" s="13">
        <f t="shared" si="6"/>
        <v>1.2</v>
      </c>
      <c r="U22" s="13">
        <f t="shared" si="3"/>
        <v>1.2612120601199999</v>
      </c>
      <c r="V22" s="13">
        <f t="shared" si="4"/>
        <v>1.3255465504934456</v>
      </c>
    </row>
    <row r="27" spans="1:25" x14ac:dyDescent="0.25">
      <c r="E27" s="24" t="s">
        <v>5</v>
      </c>
      <c r="F27" s="24"/>
      <c r="G27" s="24"/>
      <c r="J27" s="15" t="s">
        <v>34</v>
      </c>
      <c r="K27" s="15"/>
      <c r="L27" s="15"/>
      <c r="M27" s="15"/>
      <c r="N27" s="15"/>
      <c r="O27" s="15"/>
      <c r="P27" s="15"/>
      <c r="Q27" s="15"/>
      <c r="U27" s="18" t="s">
        <v>97</v>
      </c>
    </row>
    <row r="28" spans="1:25" x14ac:dyDescent="0.25">
      <c r="D28" s="8" t="s">
        <v>4</v>
      </c>
      <c r="E28" s="6">
        <f t="shared" ref="E28:G43" si="8">T1</f>
        <v>2010</v>
      </c>
      <c r="F28" s="6">
        <f t="shared" si="8"/>
        <v>2020</v>
      </c>
      <c r="G28" s="6">
        <f t="shared" si="8"/>
        <v>2030</v>
      </c>
      <c r="J28" s="15" t="s">
        <v>35</v>
      </c>
      <c r="K28" s="15" t="s">
        <v>36</v>
      </c>
      <c r="L28" s="15" t="s">
        <v>37</v>
      </c>
      <c r="M28" s="15" t="s">
        <v>38</v>
      </c>
      <c r="N28" s="15" t="s">
        <v>39</v>
      </c>
      <c r="O28" s="15" t="s">
        <v>40</v>
      </c>
      <c r="P28" s="15" t="s">
        <v>41</v>
      </c>
      <c r="Q28" s="15" t="s">
        <v>42</v>
      </c>
      <c r="S28" t="s">
        <v>36</v>
      </c>
      <c r="T28" t="s">
        <v>43</v>
      </c>
      <c r="U28" t="s">
        <v>44</v>
      </c>
      <c r="V28" t="s">
        <v>4</v>
      </c>
      <c r="W28">
        <f>E28</f>
        <v>2010</v>
      </c>
      <c r="X28" t="str">
        <f>V28&amp;"~2050"</f>
        <v>ACT_BND~2050</v>
      </c>
    </row>
    <row r="29" spans="1:25" x14ac:dyDescent="0.25">
      <c r="A29" s="3" t="s">
        <v>12</v>
      </c>
      <c r="C29" s="9" t="str">
        <f>$C$2&amp;"-"&amp;A29</f>
        <v>MINNUC-01</v>
      </c>
      <c r="D29">
        <f>S2</f>
        <v>0.49999999999999961</v>
      </c>
      <c r="E29" s="1">
        <f t="shared" si="8"/>
        <v>0.88</v>
      </c>
      <c r="F29" s="1">
        <f t="shared" si="8"/>
        <v>0.92488884408799998</v>
      </c>
      <c r="G29" s="1">
        <f t="shared" si="8"/>
        <v>0.97206747036186014</v>
      </c>
      <c r="J29" s="15" t="s">
        <v>45</v>
      </c>
      <c r="K29" s="15" t="str">
        <f>C29</f>
        <v>MINNUC-01</v>
      </c>
      <c r="L29" s="15" t="str">
        <f>$A$2&amp;" Step - "&amp;A29</f>
        <v>Nuclear Fuel Step - 01</v>
      </c>
      <c r="M29" s="15" t="s">
        <v>46</v>
      </c>
      <c r="N29" s="15" t="s">
        <v>47</v>
      </c>
      <c r="O29" s="15"/>
      <c r="P29" s="15"/>
      <c r="Q29" s="15"/>
      <c r="S29" t="str">
        <f>K29</f>
        <v>MINNUC-01</v>
      </c>
      <c r="U29" t="str">
        <f>$A$1</f>
        <v>ELCNUC</v>
      </c>
      <c r="V29">
        <f t="shared" ref="V29:W49" si="9">D29</f>
        <v>0.49999999999999961</v>
      </c>
      <c r="W29" s="13">
        <f t="shared" si="9"/>
        <v>0.88</v>
      </c>
      <c r="X29" s="13">
        <f>V29</f>
        <v>0.49999999999999961</v>
      </c>
      <c r="Y29" s="13"/>
    </row>
    <row r="30" spans="1:25" x14ac:dyDescent="0.25">
      <c r="A30" s="3" t="s">
        <v>13</v>
      </c>
      <c r="C30" s="9" t="str">
        <f t="shared" ref="C30:C49" si="10">$C$2&amp;"-"&amp;A30</f>
        <v>MINNUC-02</v>
      </c>
      <c r="D30">
        <f t="shared" ref="D30:D49" si="11">S3-S2</f>
        <v>4.9999999999999989E-2</v>
      </c>
      <c r="E30" s="1">
        <f t="shared" si="8"/>
        <v>0.89</v>
      </c>
      <c r="F30" s="1">
        <f t="shared" si="8"/>
        <v>0.93539894458899997</v>
      </c>
      <c r="G30" s="1">
        <f t="shared" si="8"/>
        <v>0.98311369161597228</v>
      </c>
      <c r="J30" s="15"/>
      <c r="K30" s="15" t="str">
        <f t="shared" ref="K30:K49" si="12">C30</f>
        <v>MINNUC-02</v>
      </c>
      <c r="L30" s="15" t="str">
        <f t="shared" ref="L30:L49" si="13">$A$2&amp;" Step - "&amp;A30</f>
        <v>Nuclear Fuel Step - 02</v>
      </c>
      <c r="M30" s="15" t="s">
        <v>46</v>
      </c>
      <c r="N30" s="15" t="s">
        <v>47</v>
      </c>
      <c r="O30" s="15"/>
      <c r="P30" s="15"/>
      <c r="Q30" s="15"/>
      <c r="S30" t="str">
        <f t="shared" ref="S30:S49" si="14">K30</f>
        <v>MINNUC-02</v>
      </c>
      <c r="U30" t="str">
        <f t="shared" ref="U30:U49" si="15">$A$1</f>
        <v>ELCNUC</v>
      </c>
      <c r="V30">
        <f t="shared" si="9"/>
        <v>4.9999999999999989E-2</v>
      </c>
      <c r="W30" s="13">
        <f t="shared" si="9"/>
        <v>0.89</v>
      </c>
      <c r="X30" s="13">
        <f t="shared" ref="X30:X48" si="16">V30</f>
        <v>4.9999999999999989E-2</v>
      </c>
      <c r="Y30" s="13"/>
    </row>
    <row r="31" spans="1:25" x14ac:dyDescent="0.25">
      <c r="A31" s="3" t="s">
        <v>14</v>
      </c>
      <c r="C31" s="9" t="str">
        <f t="shared" si="10"/>
        <v>MINNUC-03</v>
      </c>
      <c r="D31">
        <f t="shared" si="11"/>
        <v>5.0000000000000044E-2</v>
      </c>
      <c r="E31" s="1">
        <f t="shared" si="8"/>
        <v>0.91</v>
      </c>
      <c r="F31" s="1">
        <f t="shared" si="8"/>
        <v>0.95641914559099994</v>
      </c>
      <c r="G31" s="1">
        <f t="shared" si="8"/>
        <v>1.0052061341241965</v>
      </c>
      <c r="J31" s="15"/>
      <c r="K31" s="15" t="str">
        <f t="shared" si="12"/>
        <v>MINNUC-03</v>
      </c>
      <c r="L31" s="15" t="str">
        <f t="shared" si="13"/>
        <v>Nuclear Fuel Step - 03</v>
      </c>
      <c r="M31" s="15" t="s">
        <v>46</v>
      </c>
      <c r="N31" s="15" t="s">
        <v>47</v>
      </c>
      <c r="O31" s="15"/>
      <c r="P31" s="15"/>
      <c r="Q31" s="15"/>
      <c r="S31" t="str">
        <f t="shared" si="14"/>
        <v>MINNUC-03</v>
      </c>
      <c r="U31" t="str">
        <f t="shared" si="15"/>
        <v>ELCNUC</v>
      </c>
      <c r="V31">
        <f t="shared" si="9"/>
        <v>5.0000000000000044E-2</v>
      </c>
      <c r="W31" s="13">
        <f t="shared" si="9"/>
        <v>0.91</v>
      </c>
      <c r="X31" s="13">
        <f t="shared" si="16"/>
        <v>5.0000000000000044E-2</v>
      </c>
      <c r="Y31" s="13"/>
    </row>
    <row r="32" spans="1:25" x14ac:dyDescent="0.25">
      <c r="A32" s="3" t="s">
        <v>15</v>
      </c>
      <c r="C32" s="9" t="str">
        <f t="shared" si="10"/>
        <v>MINNUC-04</v>
      </c>
      <c r="D32">
        <f t="shared" si="11"/>
        <v>5.0000000000000044E-2</v>
      </c>
      <c r="E32" s="1">
        <f t="shared" si="8"/>
        <v>0.92</v>
      </c>
      <c r="F32" s="1">
        <f t="shared" si="8"/>
        <v>0.96692924609199993</v>
      </c>
      <c r="G32" s="1">
        <f t="shared" si="8"/>
        <v>1.0162523553783085</v>
      </c>
      <c r="J32" s="15"/>
      <c r="K32" s="15" t="str">
        <f t="shared" si="12"/>
        <v>MINNUC-04</v>
      </c>
      <c r="L32" s="15" t="str">
        <f t="shared" si="13"/>
        <v>Nuclear Fuel Step - 04</v>
      </c>
      <c r="M32" s="15" t="s">
        <v>46</v>
      </c>
      <c r="N32" s="15" t="s">
        <v>47</v>
      </c>
      <c r="O32" s="15"/>
      <c r="P32" s="15"/>
      <c r="Q32" s="15"/>
      <c r="S32" t="str">
        <f t="shared" si="14"/>
        <v>MINNUC-04</v>
      </c>
      <c r="U32" t="str">
        <f t="shared" si="15"/>
        <v>ELCNUC</v>
      </c>
      <c r="V32">
        <f t="shared" si="9"/>
        <v>5.0000000000000044E-2</v>
      </c>
      <c r="W32" s="13">
        <f t="shared" si="9"/>
        <v>0.92</v>
      </c>
      <c r="X32" s="13">
        <f t="shared" si="16"/>
        <v>5.0000000000000044E-2</v>
      </c>
      <c r="Y32" s="13"/>
    </row>
    <row r="33" spans="1:25" x14ac:dyDescent="0.25">
      <c r="A33" s="3" t="s">
        <v>16</v>
      </c>
      <c r="C33" s="9" t="str">
        <f t="shared" si="10"/>
        <v>MINNUC-05</v>
      </c>
      <c r="D33">
        <f t="shared" si="11"/>
        <v>5.0000000000000044E-2</v>
      </c>
      <c r="E33" s="1">
        <f t="shared" si="8"/>
        <v>0.93</v>
      </c>
      <c r="F33" s="1">
        <f t="shared" si="8"/>
        <v>0.97743934659300002</v>
      </c>
      <c r="G33" s="1">
        <f t="shared" si="8"/>
        <v>1.0272985766324205</v>
      </c>
      <c r="J33" s="15"/>
      <c r="K33" s="15" t="str">
        <f t="shared" si="12"/>
        <v>MINNUC-05</v>
      </c>
      <c r="L33" s="15" t="str">
        <f t="shared" si="13"/>
        <v>Nuclear Fuel Step - 05</v>
      </c>
      <c r="M33" s="15" t="s">
        <v>46</v>
      </c>
      <c r="N33" s="15" t="s">
        <v>47</v>
      </c>
      <c r="O33" s="15"/>
      <c r="P33" s="15"/>
      <c r="Q33" s="15"/>
      <c r="S33" t="str">
        <f t="shared" si="14"/>
        <v>MINNUC-05</v>
      </c>
      <c r="U33" t="str">
        <f t="shared" si="15"/>
        <v>ELCNUC</v>
      </c>
      <c r="V33">
        <f t="shared" si="9"/>
        <v>5.0000000000000044E-2</v>
      </c>
      <c r="W33" s="13">
        <f t="shared" si="9"/>
        <v>0.93</v>
      </c>
      <c r="X33" s="13">
        <f t="shared" si="16"/>
        <v>5.0000000000000044E-2</v>
      </c>
      <c r="Y33" s="13"/>
    </row>
    <row r="34" spans="1:25" x14ac:dyDescent="0.25">
      <c r="A34" s="3" t="s">
        <v>17</v>
      </c>
      <c r="C34" s="9" t="str">
        <f t="shared" si="10"/>
        <v>MINNUC-06</v>
      </c>
      <c r="D34">
        <f t="shared" si="11"/>
        <v>5.0000000000000044E-2</v>
      </c>
      <c r="E34" s="1">
        <f t="shared" si="8"/>
        <v>0.95</v>
      </c>
      <c r="F34" s="1">
        <f t="shared" si="8"/>
        <v>0.99845954759499989</v>
      </c>
      <c r="G34" s="1">
        <f t="shared" si="8"/>
        <v>1.0493910191406444</v>
      </c>
      <c r="J34" s="15"/>
      <c r="K34" s="15" t="str">
        <f t="shared" si="12"/>
        <v>MINNUC-06</v>
      </c>
      <c r="L34" s="15" t="str">
        <f t="shared" si="13"/>
        <v>Nuclear Fuel Step - 06</v>
      </c>
      <c r="M34" s="15" t="s">
        <v>46</v>
      </c>
      <c r="N34" s="15" t="s">
        <v>47</v>
      </c>
      <c r="O34" s="15"/>
      <c r="P34" s="15"/>
      <c r="Q34" s="15"/>
      <c r="S34" t="str">
        <f t="shared" si="14"/>
        <v>MINNUC-06</v>
      </c>
      <c r="U34" t="str">
        <f t="shared" si="15"/>
        <v>ELCNUC</v>
      </c>
      <c r="V34">
        <f t="shared" si="9"/>
        <v>5.0000000000000044E-2</v>
      </c>
      <c r="W34" s="13">
        <f t="shared" si="9"/>
        <v>0.95</v>
      </c>
      <c r="X34" s="13">
        <f t="shared" si="16"/>
        <v>5.0000000000000044E-2</v>
      </c>
      <c r="Y34" s="13"/>
    </row>
    <row r="35" spans="1:25" x14ac:dyDescent="0.25">
      <c r="A35" s="3" t="s">
        <v>18</v>
      </c>
      <c r="C35" s="9" t="str">
        <f t="shared" si="10"/>
        <v>MINNUC-07</v>
      </c>
      <c r="D35">
        <f t="shared" si="11"/>
        <v>5.0000000000000044E-2</v>
      </c>
      <c r="E35" s="1">
        <f t="shared" si="8"/>
        <v>0.96</v>
      </c>
      <c r="F35" s="1">
        <f t="shared" si="8"/>
        <v>1.008969648096</v>
      </c>
      <c r="G35" s="1">
        <f t="shared" si="8"/>
        <v>1.0604372403947566</v>
      </c>
      <c r="J35" s="15"/>
      <c r="K35" s="15" t="str">
        <f t="shared" si="12"/>
        <v>MINNUC-07</v>
      </c>
      <c r="L35" s="15" t="str">
        <f t="shared" si="13"/>
        <v>Nuclear Fuel Step - 07</v>
      </c>
      <c r="M35" s="15" t="s">
        <v>46</v>
      </c>
      <c r="N35" s="15" t="s">
        <v>47</v>
      </c>
      <c r="O35" s="15"/>
      <c r="P35" s="15"/>
      <c r="Q35" s="15"/>
      <c r="S35" t="str">
        <f t="shared" si="14"/>
        <v>MINNUC-07</v>
      </c>
      <c r="U35" t="str">
        <f t="shared" si="15"/>
        <v>ELCNUC</v>
      </c>
      <c r="V35">
        <f t="shared" si="9"/>
        <v>5.0000000000000044E-2</v>
      </c>
      <c r="W35" s="13">
        <f t="shared" si="9"/>
        <v>0.96</v>
      </c>
      <c r="X35" s="13">
        <f t="shared" si="16"/>
        <v>5.0000000000000044E-2</v>
      </c>
      <c r="Y35" s="13"/>
    </row>
    <row r="36" spans="1:25" x14ac:dyDescent="0.25">
      <c r="A36" s="3" t="s">
        <v>19</v>
      </c>
      <c r="C36" s="9" t="str">
        <f t="shared" si="10"/>
        <v>MINNUC-08</v>
      </c>
      <c r="D36">
        <f t="shared" si="11"/>
        <v>5.0000000000000044E-2</v>
      </c>
      <c r="E36" s="1">
        <f t="shared" si="8"/>
        <v>0.97</v>
      </c>
      <c r="F36" s="1">
        <f t="shared" si="8"/>
        <v>1.019479748597</v>
      </c>
      <c r="G36" s="1">
        <f t="shared" si="8"/>
        <v>1.0714834616488687</v>
      </c>
      <c r="J36" s="15"/>
      <c r="K36" s="15" t="str">
        <f t="shared" si="12"/>
        <v>MINNUC-08</v>
      </c>
      <c r="L36" s="15" t="str">
        <f t="shared" si="13"/>
        <v>Nuclear Fuel Step - 08</v>
      </c>
      <c r="M36" s="15" t="s">
        <v>46</v>
      </c>
      <c r="N36" s="15" t="s">
        <v>47</v>
      </c>
      <c r="O36" s="15"/>
      <c r="P36" s="15"/>
      <c r="Q36" s="15"/>
      <c r="S36" t="str">
        <f t="shared" si="14"/>
        <v>MINNUC-08</v>
      </c>
      <c r="U36" t="str">
        <f t="shared" si="15"/>
        <v>ELCNUC</v>
      </c>
      <c r="V36">
        <f t="shared" si="9"/>
        <v>5.0000000000000044E-2</v>
      </c>
      <c r="W36" s="13">
        <f t="shared" si="9"/>
        <v>0.97</v>
      </c>
      <c r="X36" s="13">
        <f t="shared" si="16"/>
        <v>5.0000000000000044E-2</v>
      </c>
      <c r="Y36" s="13"/>
    </row>
    <row r="37" spans="1:25" x14ac:dyDescent="0.25">
      <c r="A37" s="3" t="s">
        <v>20</v>
      </c>
      <c r="C37" s="9" t="str">
        <f t="shared" si="10"/>
        <v>MINNUC-09</v>
      </c>
      <c r="D37">
        <f t="shared" si="11"/>
        <v>5.0000000000000044E-2</v>
      </c>
      <c r="E37" s="1">
        <f t="shared" si="8"/>
        <v>0.98</v>
      </c>
      <c r="F37" s="1">
        <f t="shared" si="8"/>
        <v>1.029989849098</v>
      </c>
      <c r="G37" s="1">
        <f t="shared" si="8"/>
        <v>1.0825296829029807</v>
      </c>
      <c r="J37" s="15"/>
      <c r="K37" s="15" t="str">
        <f t="shared" si="12"/>
        <v>MINNUC-09</v>
      </c>
      <c r="L37" s="15" t="str">
        <f t="shared" si="13"/>
        <v>Nuclear Fuel Step - 09</v>
      </c>
      <c r="M37" s="15" t="s">
        <v>46</v>
      </c>
      <c r="N37" s="15" t="s">
        <v>47</v>
      </c>
      <c r="O37" s="15"/>
      <c r="P37" s="15"/>
      <c r="Q37" s="15"/>
      <c r="S37" t="str">
        <f t="shared" si="14"/>
        <v>MINNUC-09</v>
      </c>
      <c r="U37" t="str">
        <f t="shared" si="15"/>
        <v>ELCNUC</v>
      </c>
      <c r="V37">
        <f t="shared" si="9"/>
        <v>5.0000000000000044E-2</v>
      </c>
      <c r="W37" s="13">
        <f t="shared" si="9"/>
        <v>0.98</v>
      </c>
      <c r="X37" s="13">
        <f t="shared" si="16"/>
        <v>5.0000000000000044E-2</v>
      </c>
      <c r="Y37" s="13"/>
    </row>
    <row r="38" spans="1:25" x14ac:dyDescent="0.25">
      <c r="A38" s="3" t="s">
        <v>21</v>
      </c>
      <c r="C38" s="9" t="str">
        <f t="shared" si="10"/>
        <v>MINNUC-10</v>
      </c>
      <c r="D38">
        <f t="shared" si="11"/>
        <v>5.0000000000000044E-2</v>
      </c>
      <c r="E38" s="1">
        <f t="shared" si="8"/>
        <v>0.99</v>
      </c>
      <c r="F38" s="1">
        <f t="shared" si="8"/>
        <v>1.0404999495989999</v>
      </c>
      <c r="G38" s="1">
        <f t="shared" si="8"/>
        <v>1.0935759041570927</v>
      </c>
      <c r="J38" s="15"/>
      <c r="K38" s="15" t="str">
        <f t="shared" si="12"/>
        <v>MINNUC-10</v>
      </c>
      <c r="L38" s="15" t="str">
        <f t="shared" si="13"/>
        <v>Nuclear Fuel Step - 10</v>
      </c>
      <c r="M38" s="15" t="s">
        <v>46</v>
      </c>
      <c r="N38" s="15" t="s">
        <v>47</v>
      </c>
      <c r="O38" s="15"/>
      <c r="P38" s="15"/>
      <c r="Q38" s="15"/>
      <c r="S38" t="str">
        <f t="shared" si="14"/>
        <v>MINNUC-10</v>
      </c>
      <c r="U38" t="str">
        <f t="shared" si="15"/>
        <v>ELCNUC</v>
      </c>
      <c r="V38">
        <f t="shared" si="9"/>
        <v>5.0000000000000044E-2</v>
      </c>
      <c r="W38" s="13">
        <f t="shared" si="9"/>
        <v>0.99</v>
      </c>
      <c r="X38" s="13">
        <f t="shared" si="16"/>
        <v>5.0000000000000044E-2</v>
      </c>
      <c r="Y38" s="13"/>
    </row>
    <row r="39" spans="1:25" x14ac:dyDescent="0.25">
      <c r="A39" s="3" t="s">
        <v>22</v>
      </c>
      <c r="C39" s="9" t="str">
        <f t="shared" si="10"/>
        <v>MINNUC-11</v>
      </c>
      <c r="D39" s="10">
        <f t="shared" si="11"/>
        <v>5.0000000000000044E-2</v>
      </c>
      <c r="E39" s="11">
        <f t="shared" si="8"/>
        <v>1</v>
      </c>
      <c r="F39" s="11">
        <f t="shared" si="8"/>
        <v>1.0510100500999999</v>
      </c>
      <c r="G39" s="11">
        <f t="shared" si="8"/>
        <v>1.1046221254112047</v>
      </c>
      <c r="J39" s="15"/>
      <c r="K39" s="15" t="str">
        <f t="shared" si="12"/>
        <v>MINNUC-11</v>
      </c>
      <c r="L39" s="15" t="str">
        <f t="shared" si="13"/>
        <v>Nuclear Fuel Step - 11</v>
      </c>
      <c r="M39" s="15" t="s">
        <v>46</v>
      </c>
      <c r="N39" s="15" t="s">
        <v>47</v>
      </c>
      <c r="O39" s="15"/>
      <c r="P39" s="15"/>
      <c r="Q39" s="15"/>
      <c r="S39" t="str">
        <f t="shared" si="14"/>
        <v>MINNUC-11</v>
      </c>
      <c r="U39" t="str">
        <f t="shared" si="15"/>
        <v>ELCNUC</v>
      </c>
      <c r="V39">
        <f t="shared" si="9"/>
        <v>5.0000000000000044E-2</v>
      </c>
      <c r="W39" s="13">
        <f t="shared" si="9"/>
        <v>1</v>
      </c>
      <c r="X39" s="13">
        <f t="shared" si="16"/>
        <v>5.0000000000000044E-2</v>
      </c>
      <c r="Y39" s="13"/>
    </row>
    <row r="40" spans="1:25" x14ac:dyDescent="0.25">
      <c r="A40" s="3" t="s">
        <v>23</v>
      </c>
      <c r="C40" s="9" t="str">
        <f t="shared" si="10"/>
        <v>MINNUC-12</v>
      </c>
      <c r="D40">
        <f t="shared" si="11"/>
        <v>0.10000000000000009</v>
      </c>
      <c r="E40" s="1">
        <f t="shared" si="8"/>
        <v>1.02</v>
      </c>
      <c r="F40" s="1">
        <f t="shared" si="8"/>
        <v>1.0720302511019999</v>
      </c>
      <c r="G40" s="1">
        <f t="shared" si="8"/>
        <v>1.1267145679194288</v>
      </c>
      <c r="J40" s="15"/>
      <c r="K40" s="15" t="str">
        <f t="shared" si="12"/>
        <v>MINNUC-12</v>
      </c>
      <c r="L40" s="15" t="str">
        <f t="shared" si="13"/>
        <v>Nuclear Fuel Step - 12</v>
      </c>
      <c r="M40" s="15" t="s">
        <v>46</v>
      </c>
      <c r="N40" s="15" t="s">
        <v>47</v>
      </c>
      <c r="O40" s="15"/>
      <c r="P40" s="15"/>
      <c r="Q40" s="15"/>
      <c r="S40" t="str">
        <f t="shared" si="14"/>
        <v>MINNUC-12</v>
      </c>
      <c r="U40" t="str">
        <f t="shared" si="15"/>
        <v>ELCNUC</v>
      </c>
      <c r="V40">
        <f t="shared" si="9"/>
        <v>0.10000000000000009</v>
      </c>
      <c r="W40" s="13">
        <f t="shared" si="9"/>
        <v>1.02</v>
      </c>
      <c r="X40" s="13">
        <f t="shared" si="16"/>
        <v>0.10000000000000009</v>
      </c>
      <c r="Y40" s="13"/>
    </row>
    <row r="41" spans="1:25" x14ac:dyDescent="0.25">
      <c r="A41" s="3" t="s">
        <v>24</v>
      </c>
      <c r="C41" s="9" t="str">
        <f t="shared" si="10"/>
        <v>MINNUC-13</v>
      </c>
      <c r="D41">
        <f t="shared" si="11"/>
        <v>0.10000000000000009</v>
      </c>
      <c r="E41" s="1">
        <f t="shared" si="8"/>
        <v>1.04</v>
      </c>
      <c r="F41" s="1">
        <f t="shared" si="8"/>
        <v>1.0930504521039999</v>
      </c>
      <c r="G41" s="1">
        <f t="shared" si="8"/>
        <v>1.1488070104276529</v>
      </c>
      <c r="J41" s="15"/>
      <c r="K41" s="15" t="str">
        <f t="shared" si="12"/>
        <v>MINNUC-13</v>
      </c>
      <c r="L41" s="15" t="str">
        <f t="shared" si="13"/>
        <v>Nuclear Fuel Step - 13</v>
      </c>
      <c r="M41" s="15" t="s">
        <v>46</v>
      </c>
      <c r="N41" s="15" t="s">
        <v>47</v>
      </c>
      <c r="O41" s="15"/>
      <c r="P41" s="15"/>
      <c r="Q41" s="15"/>
      <c r="S41" t="str">
        <f t="shared" si="14"/>
        <v>MINNUC-13</v>
      </c>
      <c r="U41" t="str">
        <f t="shared" si="15"/>
        <v>ELCNUC</v>
      </c>
      <c r="V41">
        <f t="shared" si="9"/>
        <v>0.10000000000000009</v>
      </c>
      <c r="W41" s="13">
        <f t="shared" si="9"/>
        <v>1.04</v>
      </c>
      <c r="X41" s="13">
        <f t="shared" si="16"/>
        <v>0.10000000000000009</v>
      </c>
      <c r="Y41" s="13"/>
    </row>
    <row r="42" spans="1:25" x14ac:dyDescent="0.25">
      <c r="A42" s="3" t="s">
        <v>25</v>
      </c>
      <c r="C42" s="9" t="str">
        <f t="shared" si="10"/>
        <v>MINNUC-14</v>
      </c>
      <c r="D42">
        <f t="shared" si="11"/>
        <v>0.10000000000000009</v>
      </c>
      <c r="E42" s="1">
        <f t="shared" si="8"/>
        <v>1.06</v>
      </c>
      <c r="F42" s="1">
        <f t="shared" si="8"/>
        <v>1.1140706531060001</v>
      </c>
      <c r="G42" s="1">
        <f t="shared" si="8"/>
        <v>1.1708994529358772</v>
      </c>
      <c r="J42" s="15"/>
      <c r="K42" s="15" t="str">
        <f t="shared" si="12"/>
        <v>MINNUC-14</v>
      </c>
      <c r="L42" s="15" t="str">
        <f t="shared" si="13"/>
        <v>Nuclear Fuel Step - 14</v>
      </c>
      <c r="M42" s="15" t="s">
        <v>46</v>
      </c>
      <c r="N42" s="15" t="s">
        <v>47</v>
      </c>
      <c r="O42" s="15"/>
      <c r="P42" s="15"/>
      <c r="Q42" s="15"/>
      <c r="S42" t="str">
        <f t="shared" si="14"/>
        <v>MINNUC-14</v>
      </c>
      <c r="U42" t="str">
        <f t="shared" si="15"/>
        <v>ELCNUC</v>
      </c>
      <c r="V42">
        <f t="shared" si="9"/>
        <v>0.10000000000000009</v>
      </c>
      <c r="W42" s="13">
        <f t="shared" si="9"/>
        <v>1.06</v>
      </c>
      <c r="X42" s="13">
        <f t="shared" si="16"/>
        <v>0.10000000000000009</v>
      </c>
      <c r="Y42" s="13"/>
    </row>
    <row r="43" spans="1:25" x14ac:dyDescent="0.25">
      <c r="A43" s="3" t="s">
        <v>26</v>
      </c>
      <c r="C43" s="9" t="str">
        <f t="shared" si="10"/>
        <v>MINNUC-15</v>
      </c>
      <c r="D43">
        <f t="shared" si="11"/>
        <v>0.10000000000000009</v>
      </c>
      <c r="E43" s="1">
        <f t="shared" si="8"/>
        <v>1.08</v>
      </c>
      <c r="F43" s="1">
        <f t="shared" si="8"/>
        <v>1.135090854108</v>
      </c>
      <c r="G43" s="1">
        <f t="shared" si="8"/>
        <v>1.1929918954441012</v>
      </c>
      <c r="J43" s="15"/>
      <c r="K43" s="15" t="str">
        <f t="shared" si="12"/>
        <v>MINNUC-15</v>
      </c>
      <c r="L43" s="15" t="str">
        <f t="shared" si="13"/>
        <v>Nuclear Fuel Step - 15</v>
      </c>
      <c r="M43" s="15" t="s">
        <v>46</v>
      </c>
      <c r="N43" s="15" t="s">
        <v>47</v>
      </c>
      <c r="O43" s="15"/>
      <c r="P43" s="15"/>
      <c r="Q43" s="15"/>
      <c r="S43" t="str">
        <f t="shared" si="14"/>
        <v>MINNUC-15</v>
      </c>
      <c r="U43" t="str">
        <f t="shared" si="15"/>
        <v>ELCNUC</v>
      </c>
      <c r="V43">
        <f t="shared" si="9"/>
        <v>0.10000000000000009</v>
      </c>
      <c r="W43" s="13">
        <f t="shared" si="9"/>
        <v>1.08</v>
      </c>
      <c r="X43" s="13">
        <f t="shared" si="16"/>
        <v>0.10000000000000009</v>
      </c>
      <c r="Y43" s="13"/>
    </row>
    <row r="44" spans="1:25" x14ac:dyDescent="0.25">
      <c r="A44" s="3" t="s">
        <v>27</v>
      </c>
      <c r="C44" s="9" t="str">
        <f t="shared" si="10"/>
        <v>MINNUC-16</v>
      </c>
      <c r="D44">
        <f t="shared" si="11"/>
        <v>0.10000000000000009</v>
      </c>
      <c r="E44" s="1">
        <f t="shared" ref="E44:G49" si="17">T17</f>
        <v>1.1000000000000001</v>
      </c>
      <c r="F44" s="1">
        <f t="shared" si="17"/>
        <v>1.15611105511</v>
      </c>
      <c r="G44" s="1">
        <f t="shared" si="17"/>
        <v>1.2150843379523253</v>
      </c>
      <c r="J44" s="15"/>
      <c r="K44" s="15" t="str">
        <f t="shared" si="12"/>
        <v>MINNUC-16</v>
      </c>
      <c r="L44" s="15" t="str">
        <f t="shared" si="13"/>
        <v>Nuclear Fuel Step - 16</v>
      </c>
      <c r="M44" s="15" t="s">
        <v>46</v>
      </c>
      <c r="N44" s="15" t="s">
        <v>47</v>
      </c>
      <c r="O44" s="15"/>
      <c r="P44" s="15"/>
      <c r="Q44" s="15"/>
      <c r="S44" t="str">
        <f t="shared" si="14"/>
        <v>MINNUC-16</v>
      </c>
      <c r="U44" t="str">
        <f t="shared" si="15"/>
        <v>ELCNUC</v>
      </c>
      <c r="V44">
        <f t="shared" si="9"/>
        <v>0.10000000000000009</v>
      </c>
      <c r="W44" s="13">
        <f t="shared" si="9"/>
        <v>1.1000000000000001</v>
      </c>
      <c r="X44" s="13">
        <f t="shared" si="16"/>
        <v>0.10000000000000009</v>
      </c>
      <c r="Y44" s="13"/>
    </row>
    <row r="45" spans="1:25" x14ac:dyDescent="0.25">
      <c r="A45" s="3" t="s">
        <v>28</v>
      </c>
      <c r="C45" s="9" t="str">
        <f t="shared" si="10"/>
        <v>MINNUC-17</v>
      </c>
      <c r="D45">
        <f t="shared" si="11"/>
        <v>0.10000000000000009</v>
      </c>
      <c r="E45" s="1">
        <f t="shared" si="17"/>
        <v>1.1200000000000001</v>
      </c>
      <c r="F45" s="1">
        <f t="shared" si="17"/>
        <v>1.177131256112</v>
      </c>
      <c r="G45" s="1">
        <f t="shared" si="17"/>
        <v>1.2371767804605494</v>
      </c>
      <c r="J45" s="15"/>
      <c r="K45" s="15" t="str">
        <f t="shared" si="12"/>
        <v>MINNUC-17</v>
      </c>
      <c r="L45" s="15" t="str">
        <f t="shared" si="13"/>
        <v>Nuclear Fuel Step - 17</v>
      </c>
      <c r="M45" s="15" t="s">
        <v>46</v>
      </c>
      <c r="N45" s="15" t="s">
        <v>47</v>
      </c>
      <c r="O45" s="15"/>
      <c r="P45" s="15"/>
      <c r="Q45" s="15"/>
      <c r="S45" t="str">
        <f t="shared" si="14"/>
        <v>MINNUC-17</v>
      </c>
      <c r="U45" t="str">
        <f t="shared" si="15"/>
        <v>ELCNUC</v>
      </c>
      <c r="V45">
        <f t="shared" si="9"/>
        <v>0.10000000000000009</v>
      </c>
      <c r="W45" s="13">
        <f t="shared" si="9"/>
        <v>1.1200000000000001</v>
      </c>
      <c r="X45" s="13">
        <f t="shared" si="16"/>
        <v>0.10000000000000009</v>
      </c>
      <c r="Y45" s="13"/>
    </row>
    <row r="46" spans="1:25" x14ac:dyDescent="0.25">
      <c r="A46" s="3" t="s">
        <v>29</v>
      </c>
      <c r="C46" s="9" t="str">
        <f t="shared" si="10"/>
        <v>MINNUC-18</v>
      </c>
      <c r="D46">
        <f t="shared" si="11"/>
        <v>0.10000000000000009</v>
      </c>
      <c r="E46" s="1">
        <f t="shared" si="17"/>
        <v>1.1399999999999999</v>
      </c>
      <c r="F46" s="1">
        <f t="shared" si="17"/>
        <v>1.1981514571139997</v>
      </c>
      <c r="G46" s="1">
        <f t="shared" si="17"/>
        <v>1.2592692229687732</v>
      </c>
      <c r="J46" s="15"/>
      <c r="K46" s="15" t="str">
        <f t="shared" si="12"/>
        <v>MINNUC-18</v>
      </c>
      <c r="L46" s="15" t="str">
        <f t="shared" si="13"/>
        <v>Nuclear Fuel Step - 18</v>
      </c>
      <c r="M46" s="15" t="s">
        <v>46</v>
      </c>
      <c r="N46" s="15" t="s">
        <v>47</v>
      </c>
      <c r="O46" s="15"/>
      <c r="P46" s="15"/>
      <c r="Q46" s="15"/>
      <c r="S46" t="str">
        <f t="shared" si="14"/>
        <v>MINNUC-18</v>
      </c>
      <c r="U46" t="str">
        <f t="shared" si="15"/>
        <v>ELCNUC</v>
      </c>
      <c r="V46">
        <f t="shared" si="9"/>
        <v>0.10000000000000009</v>
      </c>
      <c r="W46" s="13">
        <f t="shared" si="9"/>
        <v>1.1399999999999999</v>
      </c>
      <c r="X46" s="13">
        <f t="shared" si="16"/>
        <v>0.10000000000000009</v>
      </c>
      <c r="Y46" s="13"/>
    </row>
    <row r="47" spans="1:25" x14ac:dyDescent="0.25">
      <c r="A47" s="3" t="s">
        <v>30</v>
      </c>
      <c r="C47" s="9" t="str">
        <f t="shared" si="10"/>
        <v>MINNUC-19</v>
      </c>
      <c r="D47">
        <f t="shared" si="11"/>
        <v>0.10000000000000009</v>
      </c>
      <c r="E47" s="1">
        <f t="shared" si="17"/>
        <v>1.1599999999999999</v>
      </c>
      <c r="F47" s="1">
        <f t="shared" si="17"/>
        <v>1.2191716581159999</v>
      </c>
      <c r="G47" s="1">
        <f t="shared" si="17"/>
        <v>1.2813616654769975</v>
      </c>
      <c r="J47" s="15"/>
      <c r="K47" s="15" t="str">
        <f t="shared" si="12"/>
        <v>MINNUC-19</v>
      </c>
      <c r="L47" s="15" t="str">
        <f t="shared" si="13"/>
        <v>Nuclear Fuel Step - 19</v>
      </c>
      <c r="M47" s="15" t="s">
        <v>46</v>
      </c>
      <c r="N47" s="15" t="s">
        <v>47</v>
      </c>
      <c r="O47" s="15"/>
      <c r="P47" s="15"/>
      <c r="Q47" s="15"/>
      <c r="S47" t="str">
        <f t="shared" si="14"/>
        <v>MINNUC-19</v>
      </c>
      <c r="U47" t="str">
        <f t="shared" si="15"/>
        <v>ELCNUC</v>
      </c>
      <c r="V47">
        <f t="shared" si="9"/>
        <v>0.10000000000000009</v>
      </c>
      <c r="W47" s="13">
        <f t="shared" si="9"/>
        <v>1.1599999999999999</v>
      </c>
      <c r="X47" s="13">
        <f t="shared" si="16"/>
        <v>0.10000000000000009</v>
      </c>
      <c r="Y47" s="13"/>
    </row>
    <row r="48" spans="1:25" x14ac:dyDescent="0.25">
      <c r="A48" s="3" t="s">
        <v>31</v>
      </c>
      <c r="C48" s="9" t="str">
        <f t="shared" si="10"/>
        <v>MINNUC-20</v>
      </c>
      <c r="D48">
        <f t="shared" si="11"/>
        <v>0.10000000000000009</v>
      </c>
      <c r="E48" s="1">
        <f t="shared" si="17"/>
        <v>1.18</v>
      </c>
      <c r="F48" s="1">
        <f t="shared" si="17"/>
        <v>1.2401918591179999</v>
      </c>
      <c r="G48" s="1">
        <f t="shared" si="17"/>
        <v>1.3034541079852215</v>
      </c>
      <c r="J48" s="15"/>
      <c r="K48" s="15" t="str">
        <f t="shared" si="12"/>
        <v>MINNUC-20</v>
      </c>
      <c r="L48" s="15" t="str">
        <f t="shared" si="13"/>
        <v>Nuclear Fuel Step - 20</v>
      </c>
      <c r="M48" s="15" t="s">
        <v>46</v>
      </c>
      <c r="N48" s="15" t="s">
        <v>47</v>
      </c>
      <c r="O48" s="15"/>
      <c r="P48" s="15"/>
      <c r="Q48" s="15"/>
      <c r="S48" t="str">
        <f t="shared" si="14"/>
        <v>MINNUC-20</v>
      </c>
      <c r="U48" t="str">
        <f t="shared" si="15"/>
        <v>ELCNUC</v>
      </c>
      <c r="V48">
        <f t="shared" si="9"/>
        <v>0.10000000000000009</v>
      </c>
      <c r="W48" s="13">
        <f t="shared" si="9"/>
        <v>1.18</v>
      </c>
      <c r="X48" s="13">
        <f t="shared" si="16"/>
        <v>0.10000000000000009</v>
      </c>
      <c r="Y48" s="13"/>
    </row>
    <row r="49" spans="1:25" x14ac:dyDescent="0.25">
      <c r="A49" s="3" t="s">
        <v>32</v>
      </c>
      <c r="C49" s="9" t="str">
        <f t="shared" si="10"/>
        <v>MINNUC-21</v>
      </c>
      <c r="D49">
        <f t="shared" si="11"/>
        <v>0.10000000000000009</v>
      </c>
      <c r="E49" s="1">
        <f t="shared" si="17"/>
        <v>1.2</v>
      </c>
      <c r="F49" s="1">
        <f t="shared" si="17"/>
        <v>1.2612120601199999</v>
      </c>
      <c r="G49" s="1">
        <f t="shared" si="17"/>
        <v>1.3255465504934456</v>
      </c>
      <c r="J49" s="15"/>
      <c r="K49" s="15" t="str">
        <f t="shared" si="12"/>
        <v>MINNUC-21</v>
      </c>
      <c r="L49" s="15" t="str">
        <f t="shared" si="13"/>
        <v>Nuclear Fuel Step - 21</v>
      </c>
      <c r="M49" s="15" t="s">
        <v>46</v>
      </c>
      <c r="N49" s="15" t="s">
        <v>47</v>
      </c>
      <c r="O49" s="15"/>
      <c r="P49" s="15"/>
      <c r="Q49" s="15"/>
      <c r="S49" t="str">
        <f t="shared" si="14"/>
        <v>MINNUC-21</v>
      </c>
      <c r="U49" t="str">
        <f t="shared" si="15"/>
        <v>ELCNUC</v>
      </c>
      <c r="V49">
        <f t="shared" si="9"/>
        <v>0.10000000000000009</v>
      </c>
      <c r="W49" s="13">
        <f t="shared" si="9"/>
        <v>1.2</v>
      </c>
      <c r="X49" s="13"/>
      <c r="Y49" s="13"/>
    </row>
  </sheetData>
  <mergeCells count="3">
    <mergeCell ref="B7:B9"/>
    <mergeCell ref="B10:B12"/>
    <mergeCell ref="E27:G27"/>
  </mergeCells>
  <pageMargins left="0.7" right="0.7" top="0.75" bottom="0.75" header="0.3" footer="0.3"/>
  <pageSetup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7"/>
  <sheetViews>
    <sheetView tabSelected="1" topLeftCell="A2" workbookViewId="0">
      <selection activeCell="A2" sqref="A2"/>
    </sheetView>
  </sheetViews>
  <sheetFormatPr defaultColWidth="8.85546875" defaultRowHeight="15" x14ac:dyDescent="0.25"/>
  <cols>
    <col min="1" max="1" width="4.85546875" bestFit="1" customWidth="1"/>
    <col min="2" max="2" width="11.28515625" bestFit="1" customWidth="1"/>
    <col min="3" max="3" width="6.7109375" bestFit="1" customWidth="1"/>
    <col min="4" max="4" width="6.42578125" bestFit="1" customWidth="1"/>
    <col min="5" max="6" width="8.85546875" customWidth="1"/>
    <col min="7" max="7" width="24.42578125" bestFit="1" customWidth="1"/>
    <col min="8" max="10" width="8.85546875" customWidth="1"/>
    <col min="11" max="11" width="4.85546875" bestFit="1" customWidth="1"/>
    <col min="12" max="12" width="3.85546875" bestFit="1" customWidth="1"/>
  </cols>
  <sheetData>
    <row r="1" spans="1:12" x14ac:dyDescent="0.25">
      <c r="A1" t="s">
        <v>80</v>
      </c>
      <c r="B1" t="s">
        <v>81</v>
      </c>
      <c r="C1" t="s">
        <v>82</v>
      </c>
      <c r="D1" t="s">
        <v>8</v>
      </c>
      <c r="G1" s="20" t="str">
        <f>A1&amp;","&amp;B1&amp;","&amp;C1&amp;","&amp;D1</f>
        <v>Fuel,Tech,Bound,Price</v>
      </c>
    </row>
    <row r="2" spans="1:12" x14ac:dyDescent="0.25">
      <c r="A2" t="str">
        <f>VLOOKUP(MID(B2,4,3),$K$2:$L$7,2,FALSE)</f>
        <v>ng</v>
      </c>
      <c r="B2" t="str">
        <f>'Gas-Min'!$C29</f>
        <v>MinGAS-01</v>
      </c>
      <c r="C2" s="18">
        <f>'Gas-Min'!D29</f>
        <v>0.49999999999999961</v>
      </c>
      <c r="D2" s="18">
        <f>'Gas-Min'!E29</f>
        <v>0.83330000000000004</v>
      </c>
      <c r="G2" s="10" t="str">
        <f t="shared" ref="G2:G65" si="0">A2&amp;","&amp;B2&amp;","&amp;C2&amp;","&amp;D2</f>
        <v>ng,MinGAS-01,0.5,0.8333</v>
      </c>
      <c r="K2" s="21" t="s">
        <v>83</v>
      </c>
      <c r="L2" s="21" t="s">
        <v>88</v>
      </c>
    </row>
    <row r="3" spans="1:12" x14ac:dyDescent="0.25">
      <c r="A3" s="18" t="str">
        <f t="shared" ref="A3:A66" si="1">VLOOKUP(MID(B3,4,3),$K$2:$L$7,2,FALSE)</f>
        <v>ng</v>
      </c>
      <c r="B3" s="18" t="str">
        <f>'Gas-Min'!$C30</f>
        <v>MinGAS-02</v>
      </c>
      <c r="C3" s="18">
        <f>'Gas-Min'!D30</f>
        <v>4.9999999999999989E-2</v>
      </c>
      <c r="D3" s="18">
        <f>'Gas-Min'!E30</f>
        <v>0.85</v>
      </c>
      <c r="G3" s="10" t="str">
        <f t="shared" si="0"/>
        <v>ng,MinGAS-02,0.05,0.85</v>
      </c>
      <c r="K3" s="21" t="s">
        <v>84</v>
      </c>
      <c r="L3" s="21" t="s">
        <v>89</v>
      </c>
    </row>
    <row r="4" spans="1:12" x14ac:dyDescent="0.25">
      <c r="A4" s="18" t="str">
        <f t="shared" si="1"/>
        <v>ng</v>
      </c>
      <c r="B4" s="18" t="str">
        <f>'Gas-Min'!$C31</f>
        <v>MinGAS-03</v>
      </c>
      <c r="C4" s="18">
        <f>'Gas-Min'!D31</f>
        <v>5.0000000000000044E-2</v>
      </c>
      <c r="D4" s="18">
        <f>'Gas-Min'!E31</f>
        <v>0.86670000000000003</v>
      </c>
      <c r="G4" s="10" t="str">
        <f t="shared" si="0"/>
        <v>ng,MinGAS-03,0.05,0.8667</v>
      </c>
      <c r="K4" s="21" t="s">
        <v>85</v>
      </c>
      <c r="L4" s="21" t="s">
        <v>90</v>
      </c>
    </row>
    <row r="5" spans="1:12" x14ac:dyDescent="0.25">
      <c r="A5" s="18" t="str">
        <f t="shared" si="1"/>
        <v>ng</v>
      </c>
      <c r="B5" s="18" t="str">
        <f>'Gas-Min'!$C32</f>
        <v>MinGAS-04</v>
      </c>
      <c r="C5" s="18">
        <f>'Gas-Min'!D32</f>
        <v>5.0000000000000044E-2</v>
      </c>
      <c r="D5" s="18">
        <f>'Gas-Min'!E32</f>
        <v>0.88329999999999997</v>
      </c>
      <c r="G5" s="10" t="str">
        <f t="shared" si="0"/>
        <v>ng,MinGAS-04,0.05,0.8833</v>
      </c>
      <c r="K5" s="21" t="s">
        <v>86</v>
      </c>
      <c r="L5" s="21" t="s">
        <v>95</v>
      </c>
    </row>
    <row r="6" spans="1:12" x14ac:dyDescent="0.25">
      <c r="A6" s="18" t="str">
        <f t="shared" si="1"/>
        <v>ng</v>
      </c>
      <c r="B6" s="18" t="str">
        <f>'Gas-Min'!$C33</f>
        <v>MinGAS-05</v>
      </c>
      <c r="C6" s="18">
        <f>'Gas-Min'!D33</f>
        <v>5.0000000000000044E-2</v>
      </c>
      <c r="D6" s="18">
        <f>'Gas-Min'!E33</f>
        <v>0.9</v>
      </c>
      <c r="G6" s="10" t="str">
        <f t="shared" si="0"/>
        <v>ng,MinGAS-05,0.05,0.9</v>
      </c>
      <c r="K6" s="21" t="s">
        <v>87</v>
      </c>
      <c r="L6" s="21" t="s">
        <v>91</v>
      </c>
    </row>
    <row r="7" spans="1:12" x14ac:dyDescent="0.25">
      <c r="A7" s="18" t="str">
        <f t="shared" si="1"/>
        <v>ng</v>
      </c>
      <c r="B7" s="18" t="str">
        <f>'Gas-Min'!$C34</f>
        <v>MinGAS-06</v>
      </c>
      <c r="C7" s="18">
        <f>'Gas-Min'!D34</f>
        <v>5.0000000000000044E-2</v>
      </c>
      <c r="D7" s="18">
        <f>'Gas-Min'!E34</f>
        <v>0.91669999999999996</v>
      </c>
      <c r="G7" s="10" t="str">
        <f t="shared" si="0"/>
        <v>ng,MinGAS-06,0.05,0.9167</v>
      </c>
      <c r="K7" s="21" t="s">
        <v>93</v>
      </c>
      <c r="L7" s="21" t="s">
        <v>96</v>
      </c>
    </row>
    <row r="8" spans="1:12" x14ac:dyDescent="0.25">
      <c r="A8" s="18" t="str">
        <f t="shared" si="1"/>
        <v>ng</v>
      </c>
      <c r="B8" s="18" t="str">
        <f>'Gas-Min'!$C35</f>
        <v>MinGAS-07</v>
      </c>
      <c r="C8" s="18">
        <f>'Gas-Min'!D35</f>
        <v>5.0000000000000044E-2</v>
      </c>
      <c r="D8" s="18">
        <f>'Gas-Min'!E35</f>
        <v>0.93330000000000002</v>
      </c>
      <c r="G8" s="10" t="str">
        <f t="shared" si="0"/>
        <v>ng,MinGAS-07,0.05,0.9333</v>
      </c>
    </row>
    <row r="9" spans="1:12" x14ac:dyDescent="0.25">
      <c r="A9" s="18" t="str">
        <f t="shared" si="1"/>
        <v>ng</v>
      </c>
      <c r="B9" s="18" t="str">
        <f>'Gas-Min'!$C36</f>
        <v>MinGAS-08</v>
      </c>
      <c r="C9" s="18">
        <f>'Gas-Min'!D36</f>
        <v>5.0000000000000044E-2</v>
      </c>
      <c r="D9" s="18">
        <f>'Gas-Min'!E36</f>
        <v>0.95</v>
      </c>
      <c r="G9" s="10" t="str">
        <f t="shared" si="0"/>
        <v>ng,MinGAS-08,0.05,0.95</v>
      </c>
    </row>
    <row r="10" spans="1:12" x14ac:dyDescent="0.25">
      <c r="A10" s="18" t="str">
        <f t="shared" si="1"/>
        <v>ng</v>
      </c>
      <c r="B10" s="18" t="str">
        <f>'Gas-Min'!$C37</f>
        <v>MinGAS-09</v>
      </c>
      <c r="C10" s="18">
        <f>'Gas-Min'!D37</f>
        <v>5.0000000000000044E-2</v>
      </c>
      <c r="D10" s="18">
        <f>'Gas-Min'!E37</f>
        <v>0.9667</v>
      </c>
      <c r="G10" s="10" t="str">
        <f t="shared" si="0"/>
        <v>ng,MinGAS-09,0.05,0.9667</v>
      </c>
    </row>
    <row r="11" spans="1:12" x14ac:dyDescent="0.25">
      <c r="A11" s="18" t="str">
        <f t="shared" si="1"/>
        <v>ng</v>
      </c>
      <c r="B11" s="18" t="str">
        <f>'Gas-Min'!$C38</f>
        <v>MinGAS-10</v>
      </c>
      <c r="C11" s="18">
        <f>'Gas-Min'!D38</f>
        <v>5.0000000000000044E-2</v>
      </c>
      <c r="D11" s="18">
        <f>'Gas-Min'!E38</f>
        <v>0.98329999999999995</v>
      </c>
      <c r="G11" s="10" t="str">
        <f t="shared" si="0"/>
        <v>ng,MinGAS-10,0.05,0.9833</v>
      </c>
    </row>
    <row r="12" spans="1:12" x14ac:dyDescent="0.25">
      <c r="A12" s="18" t="str">
        <f t="shared" si="1"/>
        <v>ng</v>
      </c>
      <c r="B12" s="18" t="str">
        <f>'Gas-Min'!$C39</f>
        <v>MinGAS-11</v>
      </c>
      <c r="C12" s="18">
        <f>'Gas-Min'!D39</f>
        <v>5.0000000000000044E-2</v>
      </c>
      <c r="D12" s="18">
        <f>'Gas-Min'!E39</f>
        <v>1</v>
      </c>
      <c r="G12" s="10" t="str">
        <f t="shared" si="0"/>
        <v>ng,MinGAS-11,0.05,1</v>
      </c>
    </row>
    <row r="13" spans="1:12" x14ac:dyDescent="0.25">
      <c r="A13" s="18" t="str">
        <f t="shared" si="1"/>
        <v>ng</v>
      </c>
      <c r="B13" s="18" t="str">
        <f>'Gas-Min'!$C40</f>
        <v>MinGAS-12</v>
      </c>
      <c r="C13" s="18">
        <f>'Gas-Min'!D40</f>
        <v>0.10000000000000009</v>
      </c>
      <c r="D13" s="18">
        <f>'Gas-Min'!E40</f>
        <v>1.0049999999999999</v>
      </c>
      <c r="G13" s="10" t="str">
        <f t="shared" si="0"/>
        <v>ng,MinGAS-12,0.1,1.005</v>
      </c>
    </row>
    <row r="14" spans="1:12" x14ac:dyDescent="0.25">
      <c r="A14" s="18" t="str">
        <f t="shared" si="1"/>
        <v>ng</v>
      </c>
      <c r="B14" s="18" t="str">
        <f>'Gas-Min'!$C41</f>
        <v>MinGAS-13</v>
      </c>
      <c r="C14" s="18">
        <f>'Gas-Min'!D41</f>
        <v>0.10000000000000009</v>
      </c>
      <c r="D14" s="18">
        <f>'Gas-Min'!E41</f>
        <v>1.0108999999999999</v>
      </c>
      <c r="G14" s="10" t="str">
        <f t="shared" si="0"/>
        <v>ng,MinGAS-13,0.1,1.0109</v>
      </c>
    </row>
    <row r="15" spans="1:12" x14ac:dyDescent="0.25">
      <c r="A15" s="18" t="str">
        <f t="shared" si="1"/>
        <v>ng</v>
      </c>
      <c r="B15" s="18" t="str">
        <f>'Gas-Min'!$C42</f>
        <v>MinGAS-14</v>
      </c>
      <c r="C15" s="18">
        <f>'Gas-Min'!D42</f>
        <v>0.10000000000000009</v>
      </c>
      <c r="D15" s="18">
        <f>'Gas-Min'!E42</f>
        <v>1.018</v>
      </c>
      <c r="G15" s="10" t="str">
        <f t="shared" si="0"/>
        <v>ng,MinGAS-14,0.1,1.018</v>
      </c>
    </row>
    <row r="16" spans="1:12" x14ac:dyDescent="0.25">
      <c r="A16" s="18" t="str">
        <f t="shared" si="1"/>
        <v>ng</v>
      </c>
      <c r="B16" s="18" t="str">
        <f>'Gas-Min'!$C43</f>
        <v>MinGAS-15</v>
      </c>
      <c r="C16" s="18">
        <f>'Gas-Min'!D43</f>
        <v>0.10000000000000009</v>
      </c>
      <c r="D16" s="18">
        <f>'Gas-Min'!E43</f>
        <v>1.0266999999999999</v>
      </c>
      <c r="G16" s="10" t="str">
        <f t="shared" si="0"/>
        <v>ng,MinGAS-15,0.1,1.0267</v>
      </c>
    </row>
    <row r="17" spans="1:7" x14ac:dyDescent="0.25">
      <c r="A17" s="18" t="str">
        <f t="shared" si="1"/>
        <v>ng</v>
      </c>
      <c r="B17" s="18" t="str">
        <f>'Gas-Min'!$C44</f>
        <v>MinGAS-16</v>
      </c>
      <c r="C17" s="18">
        <f>'Gas-Min'!D44</f>
        <v>0.10000000000000009</v>
      </c>
      <c r="D17" s="18">
        <f>'Gas-Min'!E44</f>
        <v>1.0375000000000001</v>
      </c>
      <c r="G17" s="10" t="str">
        <f t="shared" si="0"/>
        <v>ng,MinGAS-16,0.1,1.0375</v>
      </c>
    </row>
    <row r="18" spans="1:7" x14ac:dyDescent="0.25">
      <c r="A18" s="18" t="str">
        <f t="shared" si="1"/>
        <v>ng</v>
      </c>
      <c r="B18" s="18" t="str">
        <f>'Gas-Min'!$C45</f>
        <v>MinGAS-17</v>
      </c>
      <c r="C18" s="18">
        <f>'Gas-Min'!D45</f>
        <v>0.10000000000000009</v>
      </c>
      <c r="D18" s="18">
        <f>'Gas-Min'!E45</f>
        <v>1.0513999999999999</v>
      </c>
      <c r="G18" s="10" t="str">
        <f t="shared" si="0"/>
        <v>ng,MinGAS-17,0.1,1.0514</v>
      </c>
    </row>
    <row r="19" spans="1:7" x14ac:dyDescent="0.25">
      <c r="A19" s="18" t="str">
        <f t="shared" si="1"/>
        <v>ng</v>
      </c>
      <c r="B19" s="18" t="str">
        <f>'Gas-Min'!$C46</f>
        <v>MinGAS-18</v>
      </c>
      <c r="C19" s="18">
        <f>'Gas-Min'!D46</f>
        <v>0.10000000000000009</v>
      </c>
      <c r="D19" s="18">
        <f>'Gas-Min'!E46</f>
        <v>1.07</v>
      </c>
      <c r="G19" s="10" t="str">
        <f t="shared" si="0"/>
        <v>ng,MinGAS-18,0.1,1.07</v>
      </c>
    </row>
    <row r="20" spans="1:7" x14ac:dyDescent="0.25">
      <c r="A20" s="18" t="str">
        <f t="shared" si="1"/>
        <v>ng</v>
      </c>
      <c r="B20" s="18" t="str">
        <f>'Gas-Min'!$C47</f>
        <v>MinGAS-19</v>
      </c>
      <c r="C20" s="18">
        <f>'Gas-Min'!D47</f>
        <v>0.10000000000000009</v>
      </c>
      <c r="D20" s="18">
        <f>'Gas-Min'!E47</f>
        <v>1.0960000000000001</v>
      </c>
      <c r="G20" s="10" t="str">
        <f t="shared" si="0"/>
        <v>ng,MinGAS-19,0.1,1.096</v>
      </c>
    </row>
    <row r="21" spans="1:7" x14ac:dyDescent="0.25">
      <c r="A21" s="18" t="str">
        <f t="shared" si="1"/>
        <v>ng</v>
      </c>
      <c r="B21" s="18" t="str">
        <f>'Gas-Min'!$C48</f>
        <v>MinGAS-20</v>
      </c>
      <c r="C21" s="18">
        <f>'Gas-Min'!D48</f>
        <v>0.10000000000000009</v>
      </c>
      <c r="D21" s="18">
        <f>'Gas-Min'!E48</f>
        <v>1.135</v>
      </c>
      <c r="G21" s="10" t="str">
        <f t="shared" si="0"/>
        <v>ng,MinGAS-20,0.1,1.135</v>
      </c>
    </row>
    <row r="22" spans="1:7" x14ac:dyDescent="0.25">
      <c r="A22" s="18" t="str">
        <f t="shared" si="1"/>
        <v>ng</v>
      </c>
      <c r="B22" s="18" t="str">
        <f>'Gas-Min'!$C49</f>
        <v>MinGAS-21</v>
      </c>
      <c r="C22" s="18">
        <f>'Gas-Min'!D49</f>
        <v>0.10000000000000009</v>
      </c>
      <c r="D22" s="1">
        <f>'Gas-Min'!E49</f>
        <v>1.2</v>
      </c>
      <c r="G22" s="10" t="str">
        <f t="shared" si="0"/>
        <v>ng,MinGAS-21,0.1,1.2</v>
      </c>
    </row>
    <row r="23" spans="1:7" x14ac:dyDescent="0.25">
      <c r="A23" s="18" t="str">
        <f t="shared" si="1"/>
        <v>cl</v>
      </c>
      <c r="B23" s="18" t="str">
        <f>'Coal-Min'!$C29</f>
        <v>MinCoa-01</v>
      </c>
      <c r="C23" s="18">
        <f>'Coal-Min'!D29</f>
        <v>0.49999999999999961</v>
      </c>
      <c r="D23" s="18">
        <f>'Coal-Min'!E29</f>
        <v>0.83330000000000004</v>
      </c>
      <c r="G23" s="10" t="str">
        <f t="shared" si="0"/>
        <v>cl,MinCoa-01,0.5,0.8333</v>
      </c>
    </row>
    <row r="24" spans="1:7" x14ac:dyDescent="0.25">
      <c r="A24" s="18" t="str">
        <f t="shared" si="1"/>
        <v>cl</v>
      </c>
      <c r="B24" s="18" t="str">
        <f>'Coal-Min'!$C30</f>
        <v>MinCoa-02</v>
      </c>
      <c r="C24" s="18">
        <f>'Coal-Min'!D30</f>
        <v>4.9999999999999989E-2</v>
      </c>
      <c r="D24" s="18">
        <f>'Coal-Min'!E30</f>
        <v>0.85</v>
      </c>
      <c r="G24" s="10" t="str">
        <f t="shared" si="0"/>
        <v>cl,MinCoa-02,0.05,0.85</v>
      </c>
    </row>
    <row r="25" spans="1:7" x14ac:dyDescent="0.25">
      <c r="A25" s="18" t="str">
        <f t="shared" si="1"/>
        <v>cl</v>
      </c>
      <c r="B25" s="18" t="str">
        <f>'Coal-Min'!$C31</f>
        <v>MinCoa-03</v>
      </c>
      <c r="C25" s="18">
        <f>'Coal-Min'!D31</f>
        <v>5.0000000000000044E-2</v>
      </c>
      <c r="D25" s="18">
        <f>'Coal-Min'!E31</f>
        <v>0.86670000000000003</v>
      </c>
      <c r="G25" s="10" t="str">
        <f t="shared" si="0"/>
        <v>cl,MinCoa-03,0.05,0.8667</v>
      </c>
    </row>
    <row r="26" spans="1:7" x14ac:dyDescent="0.25">
      <c r="A26" s="18" t="str">
        <f t="shared" si="1"/>
        <v>cl</v>
      </c>
      <c r="B26" s="18" t="str">
        <f>'Coal-Min'!$C32</f>
        <v>MinCoa-04</v>
      </c>
      <c r="C26" s="18">
        <f>'Coal-Min'!D32</f>
        <v>5.0000000000000044E-2</v>
      </c>
      <c r="D26" s="18">
        <f>'Coal-Min'!E32</f>
        <v>0.88329999999999997</v>
      </c>
      <c r="G26" s="10" t="str">
        <f t="shared" si="0"/>
        <v>cl,MinCoa-04,0.05,0.8833</v>
      </c>
    </row>
    <row r="27" spans="1:7" x14ac:dyDescent="0.25">
      <c r="A27" s="18" t="str">
        <f t="shared" si="1"/>
        <v>cl</v>
      </c>
      <c r="B27" s="18" t="str">
        <f>'Coal-Min'!$C33</f>
        <v>MinCoa-05</v>
      </c>
      <c r="C27" s="18">
        <f>'Coal-Min'!D33</f>
        <v>5.0000000000000044E-2</v>
      </c>
      <c r="D27" s="18">
        <f>'Coal-Min'!E33</f>
        <v>0.9</v>
      </c>
      <c r="G27" s="10" t="str">
        <f t="shared" si="0"/>
        <v>cl,MinCoa-05,0.05,0.9</v>
      </c>
    </row>
    <row r="28" spans="1:7" x14ac:dyDescent="0.25">
      <c r="A28" s="18" t="str">
        <f t="shared" si="1"/>
        <v>cl</v>
      </c>
      <c r="B28" s="18" t="str">
        <f>'Coal-Min'!$C34</f>
        <v>MinCoa-06</v>
      </c>
      <c r="C28" s="18">
        <f>'Coal-Min'!D34</f>
        <v>5.0000000000000044E-2</v>
      </c>
      <c r="D28" s="18">
        <f>'Coal-Min'!E34</f>
        <v>0.91669999999999996</v>
      </c>
      <c r="G28" s="10" t="str">
        <f t="shared" si="0"/>
        <v>cl,MinCoa-06,0.05,0.9167</v>
      </c>
    </row>
    <row r="29" spans="1:7" x14ac:dyDescent="0.25">
      <c r="A29" s="18" t="str">
        <f t="shared" si="1"/>
        <v>cl</v>
      </c>
      <c r="B29" s="18" t="str">
        <f>'Coal-Min'!$C35</f>
        <v>MinCoa-07</v>
      </c>
      <c r="C29" s="18">
        <f>'Coal-Min'!D35</f>
        <v>5.0000000000000044E-2</v>
      </c>
      <c r="D29" s="18">
        <f>'Coal-Min'!E35</f>
        <v>0.93330000000000002</v>
      </c>
      <c r="G29" s="10" t="str">
        <f t="shared" si="0"/>
        <v>cl,MinCoa-07,0.05,0.9333</v>
      </c>
    </row>
    <row r="30" spans="1:7" x14ac:dyDescent="0.25">
      <c r="A30" s="18" t="str">
        <f t="shared" si="1"/>
        <v>cl</v>
      </c>
      <c r="B30" s="18" t="str">
        <f>'Coal-Min'!$C36</f>
        <v>MinCoa-08</v>
      </c>
      <c r="C30" s="18">
        <f>'Coal-Min'!D36</f>
        <v>5.0000000000000044E-2</v>
      </c>
      <c r="D30" s="18">
        <f>'Coal-Min'!E36</f>
        <v>0.95</v>
      </c>
      <c r="G30" s="10" t="str">
        <f t="shared" si="0"/>
        <v>cl,MinCoa-08,0.05,0.95</v>
      </c>
    </row>
    <row r="31" spans="1:7" x14ac:dyDescent="0.25">
      <c r="A31" s="18" t="str">
        <f t="shared" si="1"/>
        <v>cl</v>
      </c>
      <c r="B31" s="18" t="str">
        <f>'Coal-Min'!$C37</f>
        <v>MinCoa-09</v>
      </c>
      <c r="C31" s="18">
        <f>'Coal-Min'!D37</f>
        <v>5.0000000000000044E-2</v>
      </c>
      <c r="D31" s="18">
        <f>'Coal-Min'!E37</f>
        <v>0.9667</v>
      </c>
      <c r="G31" s="10" t="str">
        <f t="shared" si="0"/>
        <v>cl,MinCoa-09,0.05,0.9667</v>
      </c>
    </row>
    <row r="32" spans="1:7" x14ac:dyDescent="0.25">
      <c r="A32" s="18" t="str">
        <f t="shared" si="1"/>
        <v>cl</v>
      </c>
      <c r="B32" s="18" t="str">
        <f>'Coal-Min'!$C38</f>
        <v>MinCoa-10</v>
      </c>
      <c r="C32" s="18">
        <f>'Coal-Min'!D38</f>
        <v>5.0000000000000044E-2</v>
      </c>
      <c r="D32" s="18">
        <f>'Coal-Min'!E38</f>
        <v>0.98329999999999995</v>
      </c>
      <c r="G32" s="10" t="str">
        <f t="shared" si="0"/>
        <v>cl,MinCoa-10,0.05,0.9833</v>
      </c>
    </row>
    <row r="33" spans="1:7" x14ac:dyDescent="0.25">
      <c r="A33" s="18" t="str">
        <f t="shared" si="1"/>
        <v>cl</v>
      </c>
      <c r="B33" s="18" t="str">
        <f>'Coal-Min'!$C39</f>
        <v>MinCoa-11</v>
      </c>
      <c r="C33" s="18">
        <f>'Coal-Min'!D39</f>
        <v>5.0000000000000044E-2</v>
      </c>
      <c r="D33" s="18">
        <f>'Coal-Min'!E39</f>
        <v>1</v>
      </c>
      <c r="G33" s="10" t="str">
        <f t="shared" si="0"/>
        <v>cl,MinCoa-11,0.05,1</v>
      </c>
    </row>
    <row r="34" spans="1:7" x14ac:dyDescent="0.25">
      <c r="A34" s="18" t="str">
        <f t="shared" si="1"/>
        <v>cl</v>
      </c>
      <c r="B34" s="18" t="str">
        <f>'Coal-Min'!$C40</f>
        <v>MinCoa-12</v>
      </c>
      <c r="C34" s="18">
        <f>'Coal-Min'!D40</f>
        <v>0.10000000000000009</v>
      </c>
      <c r="D34" s="18">
        <f>'Coal-Min'!E40</f>
        <v>1.0049999999999999</v>
      </c>
      <c r="G34" s="10" t="str">
        <f t="shared" si="0"/>
        <v>cl,MinCoa-12,0.1,1.005</v>
      </c>
    </row>
    <row r="35" spans="1:7" x14ac:dyDescent="0.25">
      <c r="A35" s="18" t="str">
        <f t="shared" si="1"/>
        <v>cl</v>
      </c>
      <c r="B35" s="18" t="str">
        <f>'Coal-Min'!$C41</f>
        <v>MinCoa-13</v>
      </c>
      <c r="C35" s="18">
        <f>'Coal-Min'!D41</f>
        <v>0.10000000000000009</v>
      </c>
      <c r="D35" s="18">
        <f>'Coal-Min'!E41</f>
        <v>1.0108999999999999</v>
      </c>
      <c r="G35" s="10" t="str">
        <f t="shared" si="0"/>
        <v>cl,MinCoa-13,0.1,1.0109</v>
      </c>
    </row>
    <row r="36" spans="1:7" x14ac:dyDescent="0.25">
      <c r="A36" s="18" t="str">
        <f t="shared" si="1"/>
        <v>cl</v>
      </c>
      <c r="B36" s="18" t="str">
        <f>'Coal-Min'!$C42</f>
        <v>MinCoa-14</v>
      </c>
      <c r="C36" s="18">
        <f>'Coal-Min'!D42</f>
        <v>0.10000000000000009</v>
      </c>
      <c r="D36" s="18">
        <f>'Coal-Min'!E42</f>
        <v>1.018</v>
      </c>
      <c r="G36" s="10" t="str">
        <f t="shared" si="0"/>
        <v>cl,MinCoa-14,0.1,1.018</v>
      </c>
    </row>
    <row r="37" spans="1:7" x14ac:dyDescent="0.25">
      <c r="A37" s="18" t="str">
        <f t="shared" si="1"/>
        <v>cl</v>
      </c>
      <c r="B37" s="18" t="str">
        <f>'Coal-Min'!$C43</f>
        <v>MinCoa-15</v>
      </c>
      <c r="C37" s="18">
        <f>'Coal-Min'!D43</f>
        <v>0.10000000000000009</v>
      </c>
      <c r="D37" s="18">
        <f>'Coal-Min'!E43</f>
        <v>1.0266999999999999</v>
      </c>
      <c r="G37" s="10" t="str">
        <f t="shared" si="0"/>
        <v>cl,MinCoa-15,0.1,1.0267</v>
      </c>
    </row>
    <row r="38" spans="1:7" x14ac:dyDescent="0.25">
      <c r="A38" s="18" t="str">
        <f t="shared" si="1"/>
        <v>cl</v>
      </c>
      <c r="B38" s="18" t="str">
        <f>'Coal-Min'!$C44</f>
        <v>MinCoa-16</v>
      </c>
      <c r="C38" s="18">
        <f>'Coal-Min'!D44</f>
        <v>0.10000000000000009</v>
      </c>
      <c r="D38" s="18">
        <f>'Coal-Min'!E44</f>
        <v>1.0375000000000001</v>
      </c>
      <c r="G38" s="10" t="str">
        <f t="shared" si="0"/>
        <v>cl,MinCoa-16,0.1,1.0375</v>
      </c>
    </row>
    <row r="39" spans="1:7" x14ac:dyDescent="0.25">
      <c r="A39" s="18" t="str">
        <f t="shared" si="1"/>
        <v>cl</v>
      </c>
      <c r="B39" s="18" t="str">
        <f>'Coal-Min'!$C45</f>
        <v>MinCoa-17</v>
      </c>
      <c r="C39" s="18">
        <f>'Coal-Min'!D45</f>
        <v>0.10000000000000009</v>
      </c>
      <c r="D39" s="18">
        <f>'Coal-Min'!E45</f>
        <v>1.0513999999999999</v>
      </c>
      <c r="G39" s="10" t="str">
        <f t="shared" si="0"/>
        <v>cl,MinCoa-17,0.1,1.0514</v>
      </c>
    </row>
    <row r="40" spans="1:7" x14ac:dyDescent="0.25">
      <c r="A40" s="18" t="str">
        <f t="shared" si="1"/>
        <v>cl</v>
      </c>
      <c r="B40" s="18" t="str">
        <f>'Coal-Min'!$C46</f>
        <v>MinCoa-18</v>
      </c>
      <c r="C40" s="18">
        <f>'Coal-Min'!D46</f>
        <v>0.10000000000000009</v>
      </c>
      <c r="D40" s="18">
        <f>'Coal-Min'!E46</f>
        <v>1.07</v>
      </c>
      <c r="G40" s="10" t="str">
        <f t="shared" si="0"/>
        <v>cl,MinCoa-18,0.1,1.07</v>
      </c>
    </row>
    <row r="41" spans="1:7" x14ac:dyDescent="0.25">
      <c r="A41" s="18" t="str">
        <f t="shared" si="1"/>
        <v>cl</v>
      </c>
      <c r="B41" s="18" t="str">
        <f>'Coal-Min'!$C47</f>
        <v>MinCoa-19</v>
      </c>
      <c r="C41" s="18">
        <f>'Coal-Min'!D47</f>
        <v>0.10000000000000009</v>
      </c>
      <c r="D41" s="18">
        <f>'Coal-Min'!E47</f>
        <v>1.0960000000000001</v>
      </c>
      <c r="G41" s="10" t="str">
        <f t="shared" si="0"/>
        <v>cl,MinCoa-19,0.1,1.096</v>
      </c>
    </row>
    <row r="42" spans="1:7" x14ac:dyDescent="0.25">
      <c r="A42" s="18" t="str">
        <f t="shared" si="1"/>
        <v>cl</v>
      </c>
      <c r="B42" s="18" t="str">
        <f>'Coal-Min'!$C48</f>
        <v>MinCoa-20</v>
      </c>
      <c r="C42" s="18">
        <f>'Coal-Min'!D48</f>
        <v>0.10000000000000009</v>
      </c>
      <c r="D42" s="18">
        <f>'Coal-Min'!E48</f>
        <v>1.135</v>
      </c>
      <c r="G42" s="10" t="str">
        <f t="shared" si="0"/>
        <v>cl,MinCoa-20,0.1,1.135</v>
      </c>
    </row>
    <row r="43" spans="1:7" x14ac:dyDescent="0.25">
      <c r="A43" s="18" t="str">
        <f t="shared" si="1"/>
        <v>cl</v>
      </c>
      <c r="B43" s="18" t="str">
        <f>'Coal-Min'!$C49</f>
        <v>MinCoa-21</v>
      </c>
      <c r="C43" s="18">
        <f>'Coal-Min'!D49</f>
        <v>0.10000000000000009</v>
      </c>
      <c r="D43" s="18">
        <f>'Coal-Min'!E49</f>
        <v>1.2</v>
      </c>
      <c r="G43" s="10" t="str">
        <f t="shared" si="0"/>
        <v>cl,MinCoa-21,0.1,1.2</v>
      </c>
    </row>
    <row r="44" spans="1:7" x14ac:dyDescent="0.25">
      <c r="A44" s="18" t="str">
        <f t="shared" si="1"/>
        <v>bm</v>
      </c>
      <c r="B44" s="18" t="str">
        <f>'Bio-MIN'!$C29</f>
        <v>MinBio-01</v>
      </c>
      <c r="C44" s="18">
        <f>'Bio-MIN'!D29</f>
        <v>0.49999999999999961</v>
      </c>
      <c r="D44" s="18">
        <f>'Bio-MIN'!E29</f>
        <v>4.1666999999999996</v>
      </c>
      <c r="G44" s="10" t="str">
        <f t="shared" si="0"/>
        <v>bm,MinBio-01,0.5,4.1667</v>
      </c>
    </row>
    <row r="45" spans="1:7" x14ac:dyDescent="0.25">
      <c r="A45" s="18" t="str">
        <f t="shared" si="1"/>
        <v>bm</v>
      </c>
      <c r="B45" s="18" t="str">
        <f>'Bio-MIN'!$C30</f>
        <v>MinBio-02</v>
      </c>
      <c r="C45" s="18">
        <f>'Bio-MIN'!D30</f>
        <v>4.9999999999999989E-2</v>
      </c>
      <c r="D45" s="18">
        <f>'Bio-MIN'!E30</f>
        <v>4.25</v>
      </c>
      <c r="G45" s="10" t="str">
        <f t="shared" si="0"/>
        <v>bm,MinBio-02,0.05,4.25</v>
      </c>
    </row>
    <row r="46" spans="1:7" x14ac:dyDescent="0.25">
      <c r="A46" s="18" t="str">
        <f t="shared" si="1"/>
        <v>bm</v>
      </c>
      <c r="B46" s="18" t="str">
        <f>'Bio-MIN'!$C31</f>
        <v>MinBio-03</v>
      </c>
      <c r="C46" s="18">
        <f>'Bio-MIN'!D31</f>
        <v>5.0000000000000044E-2</v>
      </c>
      <c r="D46" s="18">
        <f>'Bio-MIN'!E31</f>
        <v>4.3333000000000004</v>
      </c>
      <c r="G46" s="10" t="str">
        <f t="shared" si="0"/>
        <v>bm,MinBio-03,0.05,4.3333</v>
      </c>
    </row>
    <row r="47" spans="1:7" x14ac:dyDescent="0.25">
      <c r="A47" s="18" t="str">
        <f t="shared" si="1"/>
        <v>bm</v>
      </c>
      <c r="B47" s="18" t="str">
        <f>'Bio-MIN'!$C32</f>
        <v>MinBio-04</v>
      </c>
      <c r="C47" s="18">
        <f>'Bio-MIN'!D32</f>
        <v>5.0000000000000044E-2</v>
      </c>
      <c r="D47" s="18">
        <f>'Bio-MIN'!E32</f>
        <v>4.4166999999999996</v>
      </c>
      <c r="G47" s="10" t="str">
        <f t="shared" si="0"/>
        <v>bm,MinBio-04,0.05,4.4167</v>
      </c>
    </row>
    <row r="48" spans="1:7" x14ac:dyDescent="0.25">
      <c r="A48" s="18" t="str">
        <f t="shared" si="1"/>
        <v>bm</v>
      </c>
      <c r="B48" s="18" t="str">
        <f>'Bio-MIN'!$C33</f>
        <v>MinBio-05</v>
      </c>
      <c r="C48" s="18">
        <f>'Bio-MIN'!D33</f>
        <v>5.0000000000000044E-2</v>
      </c>
      <c r="D48" s="18">
        <f>'Bio-MIN'!E33</f>
        <v>4.5</v>
      </c>
      <c r="G48" s="10" t="str">
        <f t="shared" si="0"/>
        <v>bm,MinBio-05,0.05,4.5</v>
      </c>
    </row>
    <row r="49" spans="1:7" x14ac:dyDescent="0.25">
      <c r="A49" s="18" t="str">
        <f t="shared" si="1"/>
        <v>bm</v>
      </c>
      <c r="B49" s="18" t="str">
        <f>'Bio-MIN'!$C34</f>
        <v>MinBio-06</v>
      </c>
      <c r="C49" s="18">
        <f>'Bio-MIN'!D34</f>
        <v>5.0000000000000044E-2</v>
      </c>
      <c r="D49" s="18">
        <f>'Bio-MIN'!E34</f>
        <v>4.5833000000000004</v>
      </c>
      <c r="G49" s="10" t="str">
        <f t="shared" si="0"/>
        <v>bm,MinBio-06,0.05,4.5833</v>
      </c>
    </row>
    <row r="50" spans="1:7" x14ac:dyDescent="0.25">
      <c r="A50" s="18" t="str">
        <f t="shared" si="1"/>
        <v>bm</v>
      </c>
      <c r="B50" s="18" t="str">
        <f>'Bio-MIN'!$C35</f>
        <v>MinBio-07</v>
      </c>
      <c r="C50" s="18">
        <f>'Bio-MIN'!D35</f>
        <v>5.0000000000000044E-2</v>
      </c>
      <c r="D50" s="18">
        <f>'Bio-MIN'!E35</f>
        <v>4.6666999999999996</v>
      </c>
      <c r="G50" s="10" t="str">
        <f t="shared" si="0"/>
        <v>bm,MinBio-07,0.05,4.6667</v>
      </c>
    </row>
    <row r="51" spans="1:7" x14ac:dyDescent="0.25">
      <c r="A51" s="18" t="str">
        <f t="shared" si="1"/>
        <v>bm</v>
      </c>
      <c r="B51" s="18" t="str">
        <f>'Bio-MIN'!$C36</f>
        <v>MinBio-08</v>
      </c>
      <c r="C51" s="18">
        <f>'Bio-MIN'!D36</f>
        <v>5.0000000000000044E-2</v>
      </c>
      <c r="D51" s="18">
        <f>'Bio-MIN'!E36</f>
        <v>4.75</v>
      </c>
      <c r="G51" s="10" t="str">
        <f t="shared" si="0"/>
        <v>bm,MinBio-08,0.05,4.75</v>
      </c>
    </row>
    <row r="52" spans="1:7" x14ac:dyDescent="0.25">
      <c r="A52" s="18" t="str">
        <f t="shared" si="1"/>
        <v>bm</v>
      </c>
      <c r="B52" s="18" t="str">
        <f>'Bio-MIN'!$C37</f>
        <v>MinBio-09</v>
      </c>
      <c r="C52" s="18">
        <f>'Bio-MIN'!D37</f>
        <v>5.0000000000000044E-2</v>
      </c>
      <c r="D52" s="18">
        <f>'Bio-MIN'!E37</f>
        <v>4.8333000000000004</v>
      </c>
      <c r="G52" s="10" t="str">
        <f t="shared" si="0"/>
        <v>bm,MinBio-09,0.05,4.8333</v>
      </c>
    </row>
    <row r="53" spans="1:7" x14ac:dyDescent="0.25">
      <c r="A53" s="18" t="str">
        <f t="shared" si="1"/>
        <v>bm</v>
      </c>
      <c r="B53" s="18" t="str">
        <f>'Bio-MIN'!$C38</f>
        <v>MinBio-10</v>
      </c>
      <c r="C53" s="18">
        <f>'Bio-MIN'!D38</f>
        <v>5.0000000000000044E-2</v>
      </c>
      <c r="D53" s="18">
        <f>'Bio-MIN'!E38</f>
        <v>4.9166999999999996</v>
      </c>
      <c r="G53" s="10" t="str">
        <f t="shared" si="0"/>
        <v>bm,MinBio-10,0.05,4.9167</v>
      </c>
    </row>
    <row r="54" spans="1:7" x14ac:dyDescent="0.25">
      <c r="A54" s="18" t="str">
        <f t="shared" si="1"/>
        <v>bm</v>
      </c>
      <c r="B54" s="18" t="str">
        <f>'Bio-MIN'!$C39</f>
        <v>MinBio-11</v>
      </c>
      <c r="C54" s="18">
        <f>'Bio-MIN'!D39</f>
        <v>5.0000000000000044E-2</v>
      </c>
      <c r="D54" s="18">
        <f>'Bio-MIN'!E39</f>
        <v>5</v>
      </c>
      <c r="G54" s="10" t="str">
        <f t="shared" si="0"/>
        <v>bm,MinBio-11,0.05,5</v>
      </c>
    </row>
    <row r="55" spans="1:7" x14ac:dyDescent="0.25">
      <c r="A55" s="18" t="str">
        <f t="shared" si="1"/>
        <v>bm</v>
      </c>
      <c r="B55" s="18" t="str">
        <f>'Bio-MIN'!$C40</f>
        <v>MinBio-12</v>
      </c>
      <c r="C55" s="18">
        <f>'Bio-MIN'!D40</f>
        <v>0.19999999999999996</v>
      </c>
      <c r="D55" s="18">
        <f>'Bio-MIN'!E40</f>
        <v>5.3333000000000004</v>
      </c>
      <c r="G55" s="10" t="str">
        <f t="shared" si="0"/>
        <v>bm,MinBio-12,0.2,5.3333</v>
      </c>
    </row>
    <row r="56" spans="1:7" x14ac:dyDescent="0.25">
      <c r="A56" s="18" t="str">
        <f t="shared" si="1"/>
        <v>bm</v>
      </c>
      <c r="B56" s="18" t="str">
        <f>'Bio-MIN'!$C41</f>
        <v>MinBio-13</v>
      </c>
      <c r="C56" s="18">
        <f>'Bio-MIN'!D41</f>
        <v>0.19999999999999996</v>
      </c>
      <c r="D56" s="18">
        <f>'Bio-MIN'!E41</f>
        <v>5.6923000000000004</v>
      </c>
      <c r="G56" s="10" t="str">
        <f t="shared" si="0"/>
        <v>bm,MinBio-13,0.2,5.6923</v>
      </c>
    </row>
    <row r="57" spans="1:7" x14ac:dyDescent="0.25">
      <c r="A57" s="18" t="str">
        <f t="shared" si="1"/>
        <v>bm</v>
      </c>
      <c r="B57" s="18" t="str">
        <f>'Bio-MIN'!$C42</f>
        <v>MinBio-14</v>
      </c>
      <c r="C57" s="18">
        <f>'Bio-MIN'!D42</f>
        <v>0.19999999999999996</v>
      </c>
      <c r="D57" s="18">
        <f>'Bio-MIN'!E42</f>
        <v>6.08</v>
      </c>
      <c r="G57" s="10" t="str">
        <f t="shared" si="0"/>
        <v>bm,MinBio-14,0.2,6.08</v>
      </c>
    </row>
    <row r="58" spans="1:7" x14ac:dyDescent="0.25">
      <c r="A58" s="18" t="str">
        <f t="shared" si="1"/>
        <v>bm</v>
      </c>
      <c r="B58" s="18" t="str">
        <f>'Bio-MIN'!$C43</f>
        <v>MinBio-15</v>
      </c>
      <c r="C58" s="18">
        <f>'Bio-MIN'!D43</f>
        <v>0.19999999999999996</v>
      </c>
      <c r="D58" s="18">
        <f>'Bio-MIN'!E43</f>
        <v>6.5</v>
      </c>
      <c r="G58" s="10" t="str">
        <f t="shared" si="0"/>
        <v>bm,MinBio-15,0.2,6.5</v>
      </c>
    </row>
    <row r="59" spans="1:7" x14ac:dyDescent="0.25">
      <c r="A59" s="18" t="str">
        <f t="shared" si="1"/>
        <v>bm</v>
      </c>
      <c r="B59" s="18" t="str">
        <f>'Bio-MIN'!$C44</f>
        <v>MinBio-16</v>
      </c>
      <c r="C59" s="18">
        <f>'Bio-MIN'!D44</f>
        <v>0.19999999999999996</v>
      </c>
      <c r="D59" s="18">
        <f>'Bio-MIN'!E44</f>
        <v>6.9565000000000001</v>
      </c>
      <c r="G59" s="10" t="str">
        <f t="shared" si="0"/>
        <v>bm,MinBio-16,0.2,6.9565</v>
      </c>
    </row>
    <row r="60" spans="1:7" x14ac:dyDescent="0.25">
      <c r="A60" s="18" t="str">
        <f t="shared" si="1"/>
        <v>bm</v>
      </c>
      <c r="B60" s="18" t="str">
        <f>'Bio-MIN'!$C45</f>
        <v>MinBio-17</v>
      </c>
      <c r="C60" s="18">
        <f>'Bio-MIN'!D45</f>
        <v>0.19999999999999996</v>
      </c>
      <c r="D60" s="18">
        <f>'Bio-MIN'!E45</f>
        <v>7.4545000000000003</v>
      </c>
      <c r="G60" s="10" t="str">
        <f t="shared" si="0"/>
        <v>bm,MinBio-17,0.2,7.4545</v>
      </c>
    </row>
    <row r="61" spans="1:7" x14ac:dyDescent="0.25">
      <c r="A61" s="18" t="str">
        <f t="shared" si="1"/>
        <v>bm</v>
      </c>
      <c r="B61" s="18" t="str">
        <f>'Bio-MIN'!$C46</f>
        <v>MinBio-18</v>
      </c>
      <c r="C61" s="18">
        <f>'Bio-MIN'!D46</f>
        <v>0.20000000000000018</v>
      </c>
      <c r="D61" s="18">
        <f>'Bio-MIN'!E46</f>
        <v>8</v>
      </c>
      <c r="G61" s="10" t="str">
        <f t="shared" si="0"/>
        <v>bm,MinBio-18,0.2,8</v>
      </c>
    </row>
    <row r="62" spans="1:7" x14ac:dyDescent="0.25">
      <c r="A62" s="18" t="str">
        <f t="shared" si="1"/>
        <v>bm</v>
      </c>
      <c r="B62" s="18" t="str">
        <f>'Bio-MIN'!$C47</f>
        <v>MinBio-19</v>
      </c>
      <c r="C62" s="18">
        <f>'Bio-MIN'!D47</f>
        <v>0.20000000000000018</v>
      </c>
      <c r="D62" s="18">
        <f>'Bio-MIN'!E47</f>
        <v>8.6</v>
      </c>
      <c r="G62" s="10" t="str">
        <f t="shared" si="0"/>
        <v>bm,MinBio-19,0.2,8.6</v>
      </c>
    </row>
    <row r="63" spans="1:7" x14ac:dyDescent="0.25">
      <c r="A63" s="18" t="str">
        <f t="shared" si="1"/>
        <v>bm</v>
      </c>
      <c r="B63" s="18" t="str">
        <f>'Bio-MIN'!$C48</f>
        <v>MinBio-20</v>
      </c>
      <c r="C63" s="18">
        <f>'Bio-MIN'!D48</f>
        <v>0.20000000000000018</v>
      </c>
      <c r="D63" s="18">
        <f>'Bio-MIN'!E48</f>
        <v>9.2631999999999994</v>
      </c>
      <c r="G63" s="10" t="str">
        <f t="shared" si="0"/>
        <v>bm,MinBio-20,0.2,9.2632</v>
      </c>
    </row>
    <row r="64" spans="1:7" x14ac:dyDescent="0.25">
      <c r="A64" s="18" t="str">
        <f t="shared" si="1"/>
        <v>bm</v>
      </c>
      <c r="B64" s="18" t="str">
        <f>'Bio-MIN'!$C49</f>
        <v>MinBio-21</v>
      </c>
      <c r="C64" s="18">
        <f>'Bio-MIN'!D49</f>
        <v>0.20000000000000018</v>
      </c>
      <c r="D64" s="18">
        <f>'Bio-MIN'!E49</f>
        <v>10</v>
      </c>
      <c r="G64" s="10" t="str">
        <f t="shared" si="0"/>
        <v>bm,MinBio-21,0.2,10</v>
      </c>
    </row>
    <row r="65" spans="1:7" x14ac:dyDescent="0.25">
      <c r="A65" s="18" t="str">
        <f t="shared" si="1"/>
        <v>rs</v>
      </c>
      <c r="B65" s="18" t="str">
        <f>'Oil-Min'!$C29</f>
        <v>MinOIL-01</v>
      </c>
      <c r="C65" s="18">
        <f>'Oil-Min'!D29</f>
        <v>0.49999999999999961</v>
      </c>
      <c r="D65" s="18">
        <f>'Oil-Min'!E29</f>
        <v>0</v>
      </c>
      <c r="G65" s="10" t="str">
        <f t="shared" si="0"/>
        <v>rs,MinOIL-01,0.5,0</v>
      </c>
    </row>
    <row r="66" spans="1:7" x14ac:dyDescent="0.25">
      <c r="A66" s="18" t="str">
        <f t="shared" si="1"/>
        <v>rs</v>
      </c>
      <c r="B66" s="18" t="str">
        <f>'Oil-Min'!$C30</f>
        <v>MinOIL-02</v>
      </c>
      <c r="C66" s="18">
        <f>'Oil-Min'!D30</f>
        <v>4.9999999999999989E-2</v>
      </c>
      <c r="D66" s="18">
        <f>'Oil-Min'!E30</f>
        <v>7.9500000000000001E-2</v>
      </c>
      <c r="G66" s="10" t="str">
        <f t="shared" ref="G66:G127" si="2">A66&amp;","&amp;B66&amp;","&amp;C66&amp;","&amp;D66</f>
        <v>rs,MinOIL-02,0.05,0.0795</v>
      </c>
    </row>
    <row r="67" spans="1:7" x14ac:dyDescent="0.25">
      <c r="A67" s="18" t="str">
        <f t="shared" ref="A67:A127" si="3">VLOOKUP(MID(B67,4,3),$K$2:$L$7,2,FALSE)</f>
        <v>rs</v>
      </c>
      <c r="B67" s="18" t="str">
        <f>'Oil-Min'!$C31</f>
        <v>MinOIL-03</v>
      </c>
      <c r="C67" s="18">
        <f>'Oil-Min'!D31</f>
        <v>5.0000000000000044E-2</v>
      </c>
      <c r="D67" s="18">
        <f>'Oil-Min'!E31</f>
        <v>0.1628</v>
      </c>
      <c r="G67" s="10" t="str">
        <f t="shared" si="2"/>
        <v>rs,MinOIL-03,0.05,0.1628</v>
      </c>
    </row>
    <row r="68" spans="1:7" x14ac:dyDescent="0.25">
      <c r="A68" s="18" t="str">
        <f t="shared" si="3"/>
        <v>rs</v>
      </c>
      <c r="B68" s="18" t="str">
        <f>'Oil-Min'!$C32</f>
        <v>MinOIL-04</v>
      </c>
      <c r="C68" s="18">
        <f>'Oil-Min'!D32</f>
        <v>5.0000000000000044E-2</v>
      </c>
      <c r="D68" s="18">
        <f>'Oil-Min'!E32</f>
        <v>0.25</v>
      </c>
      <c r="G68" s="10" t="str">
        <f t="shared" si="2"/>
        <v>rs,MinOIL-04,0.05,0.25</v>
      </c>
    </row>
    <row r="69" spans="1:7" x14ac:dyDescent="0.25">
      <c r="A69" s="18" t="str">
        <f t="shared" si="3"/>
        <v>rs</v>
      </c>
      <c r="B69" s="18" t="str">
        <f>'Oil-Min'!$C33</f>
        <v>MinOIL-05</v>
      </c>
      <c r="C69" s="18">
        <f>'Oil-Min'!D33</f>
        <v>5.0000000000000044E-2</v>
      </c>
      <c r="D69" s="18">
        <f>'Oil-Min'!E33</f>
        <v>0.34150000000000003</v>
      </c>
      <c r="G69" s="10" t="str">
        <f t="shared" si="2"/>
        <v>rs,MinOIL-05,0.05,0.3415</v>
      </c>
    </row>
    <row r="70" spans="1:7" x14ac:dyDescent="0.25">
      <c r="A70" s="18" t="str">
        <f t="shared" si="3"/>
        <v>rs</v>
      </c>
      <c r="B70" s="18" t="str">
        <f>'Oil-Min'!$C34</f>
        <v>MinOIL-06</v>
      </c>
      <c r="C70" s="18">
        <f>'Oil-Min'!D34</f>
        <v>5.0000000000000044E-2</v>
      </c>
      <c r="D70" s="18">
        <f>'Oil-Min'!E34</f>
        <v>0.4375</v>
      </c>
      <c r="G70" s="10" t="str">
        <f t="shared" si="2"/>
        <v>rs,MinOIL-06,0.05,0.4375</v>
      </c>
    </row>
    <row r="71" spans="1:7" x14ac:dyDescent="0.25">
      <c r="A71" s="18" t="str">
        <f t="shared" si="3"/>
        <v>rs</v>
      </c>
      <c r="B71" s="18" t="str">
        <f>'Oil-Min'!$C35</f>
        <v>MinOIL-07</v>
      </c>
      <c r="C71" s="18">
        <f>'Oil-Min'!D35</f>
        <v>5.0000000000000044E-2</v>
      </c>
      <c r="D71" s="18">
        <f>'Oil-Min'!E35</f>
        <v>0.53849999999999998</v>
      </c>
      <c r="G71" s="10" t="str">
        <f t="shared" si="2"/>
        <v>rs,MinOIL-07,0.05,0.5385</v>
      </c>
    </row>
    <row r="72" spans="1:7" x14ac:dyDescent="0.25">
      <c r="A72" s="18" t="str">
        <f t="shared" si="3"/>
        <v>rs</v>
      </c>
      <c r="B72" s="18" t="str">
        <f>'Oil-Min'!$C36</f>
        <v>MinOIL-08</v>
      </c>
      <c r="C72" s="18">
        <f>'Oil-Min'!D36</f>
        <v>5.0000000000000044E-2</v>
      </c>
      <c r="D72" s="18">
        <f>'Oil-Min'!E36</f>
        <v>0.64470000000000005</v>
      </c>
      <c r="G72" s="10" t="str">
        <f t="shared" si="2"/>
        <v>rs,MinOIL-08,0.05,0.6447</v>
      </c>
    </row>
    <row r="73" spans="1:7" x14ac:dyDescent="0.25">
      <c r="A73" s="18" t="str">
        <f t="shared" si="3"/>
        <v>rs</v>
      </c>
      <c r="B73" s="18" t="str">
        <f>'Oil-Min'!$C37</f>
        <v>MinOIL-09</v>
      </c>
      <c r="C73" s="18">
        <f>'Oil-Min'!D37</f>
        <v>5.0000000000000044E-2</v>
      </c>
      <c r="D73" s="18">
        <f>'Oil-Min'!E37</f>
        <v>0.75680000000000003</v>
      </c>
      <c r="G73" s="10" t="str">
        <f t="shared" si="2"/>
        <v>rs,MinOIL-09,0.05,0.7568</v>
      </c>
    </row>
    <row r="74" spans="1:7" x14ac:dyDescent="0.25">
      <c r="A74" s="18" t="str">
        <f t="shared" si="3"/>
        <v>rs</v>
      </c>
      <c r="B74" s="18" t="str">
        <f>'Oil-Min'!$C38</f>
        <v>MinOIL-10</v>
      </c>
      <c r="C74" s="18">
        <f>'Oil-Min'!D38</f>
        <v>5.0000000000000044E-2</v>
      </c>
      <c r="D74" s="18">
        <f>'Oil-Min'!E38</f>
        <v>0.875</v>
      </c>
      <c r="G74" s="10" t="str">
        <f t="shared" si="2"/>
        <v>rs,MinOIL-10,0.05,0.875</v>
      </c>
    </row>
    <row r="75" spans="1:7" x14ac:dyDescent="0.25">
      <c r="A75" s="18" t="str">
        <f t="shared" si="3"/>
        <v>rs</v>
      </c>
      <c r="B75" s="18" t="str">
        <f>'Oil-Min'!$C39</f>
        <v>MinOIL-11</v>
      </c>
      <c r="C75" s="18">
        <f>'Oil-Min'!D39</f>
        <v>5.0000000000000044E-2</v>
      </c>
      <c r="D75" s="18">
        <f>'Oil-Min'!E39</f>
        <v>1</v>
      </c>
      <c r="G75" s="10" t="str">
        <f t="shared" si="2"/>
        <v>rs,MinOIL-11,0.05,1</v>
      </c>
    </row>
    <row r="76" spans="1:7" x14ac:dyDescent="0.25">
      <c r="A76" s="18" t="str">
        <f t="shared" si="3"/>
        <v>rs</v>
      </c>
      <c r="B76" s="18" t="str">
        <f>'Oil-Min'!$C40</f>
        <v>MinOIL-12</v>
      </c>
      <c r="C76" s="18">
        <f>'Oil-Min'!D40</f>
        <v>1</v>
      </c>
      <c r="D76" s="18">
        <f>'Oil-Min'!E40</f>
        <v>1.05</v>
      </c>
      <c r="G76" s="10" t="str">
        <f t="shared" si="2"/>
        <v>rs,MinOIL-12,1,1.05</v>
      </c>
    </row>
    <row r="77" spans="1:7" x14ac:dyDescent="0.25">
      <c r="A77" s="18" t="str">
        <f t="shared" si="3"/>
        <v>rs</v>
      </c>
      <c r="B77" s="18" t="str">
        <f>'Oil-Min'!$C41</f>
        <v>MinOIL-13</v>
      </c>
      <c r="C77" s="18">
        <f>'Oil-Min'!D41</f>
        <v>1</v>
      </c>
      <c r="D77" s="18">
        <f>'Oil-Min'!E41</f>
        <v>1.1000000000000001</v>
      </c>
      <c r="G77" s="10" t="str">
        <f t="shared" si="2"/>
        <v>rs,MinOIL-13,1,1.1</v>
      </c>
    </row>
    <row r="78" spans="1:7" x14ac:dyDescent="0.25">
      <c r="A78" s="18" t="str">
        <f t="shared" si="3"/>
        <v>rs</v>
      </c>
      <c r="B78" s="18" t="str">
        <f>'Oil-Min'!$C42</f>
        <v>MinOIL-14</v>
      </c>
      <c r="C78" s="18">
        <f>'Oil-Min'!D42</f>
        <v>1</v>
      </c>
      <c r="D78" s="18">
        <f>'Oil-Min'!E42</f>
        <v>1.1499999999999999</v>
      </c>
      <c r="G78" s="10" t="str">
        <f t="shared" si="2"/>
        <v>rs,MinOIL-14,1,1.15</v>
      </c>
    </row>
    <row r="79" spans="1:7" x14ac:dyDescent="0.25">
      <c r="A79" s="18" t="str">
        <f t="shared" si="3"/>
        <v>rs</v>
      </c>
      <c r="B79" s="18" t="str">
        <f>'Oil-Min'!$C43</f>
        <v>MinOIL-15</v>
      </c>
      <c r="C79" s="18">
        <f>'Oil-Min'!D43</f>
        <v>1</v>
      </c>
      <c r="D79" s="18">
        <f>'Oil-Min'!E43</f>
        <v>1.2</v>
      </c>
      <c r="G79" s="10" t="str">
        <f t="shared" si="2"/>
        <v>rs,MinOIL-15,1,1.2</v>
      </c>
    </row>
    <row r="80" spans="1:7" x14ac:dyDescent="0.25">
      <c r="A80" s="18" t="str">
        <f t="shared" si="3"/>
        <v>rs</v>
      </c>
      <c r="B80" s="18" t="str">
        <f>'Oil-Min'!$C44</f>
        <v>MinOIL-16</v>
      </c>
      <c r="C80" s="18">
        <f>'Oil-Min'!D44</f>
        <v>1</v>
      </c>
      <c r="D80" s="18">
        <f>'Oil-Min'!E44</f>
        <v>1.25</v>
      </c>
      <c r="G80" s="10" t="str">
        <f t="shared" si="2"/>
        <v>rs,MinOIL-16,1,1.25</v>
      </c>
    </row>
    <row r="81" spans="1:7" x14ac:dyDescent="0.25">
      <c r="A81" s="18" t="str">
        <f t="shared" si="3"/>
        <v>rs</v>
      </c>
      <c r="B81" s="18" t="str">
        <f>'Oil-Min'!$C45</f>
        <v>MinOIL-17</v>
      </c>
      <c r="C81" s="18">
        <f>'Oil-Min'!D45</f>
        <v>1</v>
      </c>
      <c r="D81" s="18">
        <f>'Oil-Min'!E45</f>
        <v>1.3</v>
      </c>
      <c r="G81" s="10" t="str">
        <f t="shared" si="2"/>
        <v>rs,MinOIL-17,1,1.3</v>
      </c>
    </row>
    <row r="82" spans="1:7" x14ac:dyDescent="0.25">
      <c r="A82" s="18" t="str">
        <f t="shared" si="3"/>
        <v>rs</v>
      </c>
      <c r="B82" s="18" t="str">
        <f>'Oil-Min'!$C46</f>
        <v>MinOIL-18</v>
      </c>
      <c r="C82" s="18">
        <f>'Oil-Min'!D46</f>
        <v>1</v>
      </c>
      <c r="D82" s="18">
        <f>'Oil-Min'!E46</f>
        <v>1.35</v>
      </c>
      <c r="G82" s="10" t="str">
        <f t="shared" si="2"/>
        <v>rs,MinOIL-18,1,1.35</v>
      </c>
    </row>
    <row r="83" spans="1:7" x14ac:dyDescent="0.25">
      <c r="A83" s="18" t="str">
        <f t="shared" si="3"/>
        <v>rs</v>
      </c>
      <c r="B83" s="18" t="str">
        <f>'Oil-Min'!$C47</f>
        <v>MinOIL-19</v>
      </c>
      <c r="C83" s="18">
        <f>'Oil-Min'!D47</f>
        <v>1</v>
      </c>
      <c r="D83" s="18">
        <f>'Oil-Min'!E47</f>
        <v>1.4</v>
      </c>
      <c r="G83" s="10" t="str">
        <f t="shared" si="2"/>
        <v>rs,MinOIL-19,1,1.4</v>
      </c>
    </row>
    <row r="84" spans="1:7" x14ac:dyDescent="0.25">
      <c r="A84" s="18" t="str">
        <f t="shared" si="3"/>
        <v>rs</v>
      </c>
      <c r="B84" s="18" t="str">
        <f>'Oil-Min'!$C48</f>
        <v>MinOIL-20</v>
      </c>
      <c r="C84" s="18">
        <f>'Oil-Min'!D48</f>
        <v>1</v>
      </c>
      <c r="D84" s="18">
        <f>'Oil-Min'!E48</f>
        <v>1.45</v>
      </c>
      <c r="G84" s="10" t="str">
        <f t="shared" si="2"/>
        <v>rs,MinOIL-20,1,1.45</v>
      </c>
    </row>
    <row r="85" spans="1:7" x14ac:dyDescent="0.25">
      <c r="A85" s="18" t="str">
        <f t="shared" si="3"/>
        <v>rs</v>
      </c>
      <c r="B85" s="18" t="str">
        <f>'Oil-Min'!$C49</f>
        <v>MinOIL-21</v>
      </c>
      <c r="C85" s="18">
        <f>'Oil-Min'!D49</f>
        <v>1</v>
      </c>
      <c r="D85" s="18">
        <f>'Oil-Min'!E49</f>
        <v>1.5</v>
      </c>
      <c r="G85" s="10" t="str">
        <f t="shared" si="2"/>
        <v>rs,MinOIL-21,1,1.5</v>
      </c>
    </row>
    <row r="86" spans="1:7" x14ac:dyDescent="0.25">
      <c r="A86" s="18" t="str">
        <f t="shared" si="3"/>
        <v>nu</v>
      </c>
      <c r="B86" s="18" t="str">
        <f>NUC!$C29</f>
        <v>MINNUC-01</v>
      </c>
      <c r="C86" s="18">
        <f>NUC!D29</f>
        <v>0.49999999999999961</v>
      </c>
      <c r="D86" s="18">
        <f>NUC!E29</f>
        <v>0.88</v>
      </c>
      <c r="G86" s="10" t="str">
        <f t="shared" si="2"/>
        <v>nu,MINNUC-01,0.5,0.88</v>
      </c>
    </row>
    <row r="87" spans="1:7" x14ac:dyDescent="0.25">
      <c r="A87" s="18" t="str">
        <f t="shared" si="3"/>
        <v>nu</v>
      </c>
      <c r="B87" s="18" t="str">
        <f>NUC!$C30</f>
        <v>MINNUC-02</v>
      </c>
      <c r="C87" s="18">
        <f>NUC!D30</f>
        <v>4.9999999999999989E-2</v>
      </c>
      <c r="D87" s="18">
        <f>NUC!E30</f>
        <v>0.89</v>
      </c>
      <c r="G87" s="10" t="str">
        <f t="shared" si="2"/>
        <v>nu,MINNUC-02,0.05,0.89</v>
      </c>
    </row>
    <row r="88" spans="1:7" x14ac:dyDescent="0.25">
      <c r="A88" s="18" t="str">
        <f t="shared" si="3"/>
        <v>nu</v>
      </c>
      <c r="B88" s="18" t="str">
        <f>NUC!$C31</f>
        <v>MINNUC-03</v>
      </c>
      <c r="C88" s="18">
        <f>NUC!D31</f>
        <v>5.0000000000000044E-2</v>
      </c>
      <c r="D88" s="18">
        <f>NUC!E31</f>
        <v>0.91</v>
      </c>
      <c r="G88" s="10" t="str">
        <f t="shared" si="2"/>
        <v>nu,MINNUC-03,0.05,0.91</v>
      </c>
    </row>
    <row r="89" spans="1:7" x14ac:dyDescent="0.25">
      <c r="A89" s="18" t="str">
        <f t="shared" si="3"/>
        <v>nu</v>
      </c>
      <c r="B89" s="18" t="str">
        <f>NUC!$C32</f>
        <v>MINNUC-04</v>
      </c>
      <c r="C89" s="18">
        <f>NUC!D32</f>
        <v>5.0000000000000044E-2</v>
      </c>
      <c r="D89" s="18">
        <f>NUC!E32</f>
        <v>0.92</v>
      </c>
      <c r="G89" s="10" t="str">
        <f t="shared" si="2"/>
        <v>nu,MINNUC-04,0.05,0.92</v>
      </c>
    </row>
    <row r="90" spans="1:7" x14ac:dyDescent="0.25">
      <c r="A90" s="18" t="str">
        <f t="shared" si="3"/>
        <v>nu</v>
      </c>
      <c r="B90" s="18" t="str">
        <f>NUC!$C33</f>
        <v>MINNUC-05</v>
      </c>
      <c r="C90" s="18">
        <f>NUC!D33</f>
        <v>5.0000000000000044E-2</v>
      </c>
      <c r="D90" s="18">
        <f>NUC!E33</f>
        <v>0.93</v>
      </c>
      <c r="G90" s="10" t="str">
        <f t="shared" si="2"/>
        <v>nu,MINNUC-05,0.05,0.93</v>
      </c>
    </row>
    <row r="91" spans="1:7" x14ac:dyDescent="0.25">
      <c r="A91" s="18" t="str">
        <f t="shared" si="3"/>
        <v>nu</v>
      </c>
      <c r="B91" s="18" t="str">
        <f>NUC!$C34</f>
        <v>MINNUC-06</v>
      </c>
      <c r="C91" s="18">
        <f>NUC!D34</f>
        <v>5.0000000000000044E-2</v>
      </c>
      <c r="D91" s="18">
        <f>NUC!E34</f>
        <v>0.95</v>
      </c>
      <c r="G91" s="10" t="str">
        <f t="shared" si="2"/>
        <v>nu,MINNUC-06,0.05,0.95</v>
      </c>
    </row>
    <row r="92" spans="1:7" x14ac:dyDescent="0.25">
      <c r="A92" s="18" t="str">
        <f t="shared" si="3"/>
        <v>nu</v>
      </c>
      <c r="B92" s="18" t="str">
        <f>NUC!$C35</f>
        <v>MINNUC-07</v>
      </c>
      <c r="C92" s="18">
        <f>NUC!D35</f>
        <v>5.0000000000000044E-2</v>
      </c>
      <c r="D92" s="18">
        <f>NUC!E35</f>
        <v>0.96</v>
      </c>
      <c r="G92" s="10" t="str">
        <f t="shared" si="2"/>
        <v>nu,MINNUC-07,0.05,0.96</v>
      </c>
    </row>
    <row r="93" spans="1:7" x14ac:dyDescent="0.25">
      <c r="A93" s="18" t="str">
        <f t="shared" si="3"/>
        <v>nu</v>
      </c>
      <c r="B93" s="18" t="str">
        <f>NUC!$C36</f>
        <v>MINNUC-08</v>
      </c>
      <c r="C93" s="18">
        <f>NUC!D36</f>
        <v>5.0000000000000044E-2</v>
      </c>
      <c r="D93" s="18">
        <f>NUC!E36</f>
        <v>0.97</v>
      </c>
      <c r="G93" s="10" t="str">
        <f t="shared" si="2"/>
        <v>nu,MINNUC-08,0.05,0.97</v>
      </c>
    </row>
    <row r="94" spans="1:7" x14ac:dyDescent="0.25">
      <c r="A94" s="18" t="str">
        <f t="shared" si="3"/>
        <v>nu</v>
      </c>
      <c r="B94" s="18" t="str">
        <f>NUC!$C37</f>
        <v>MINNUC-09</v>
      </c>
      <c r="C94" s="18">
        <f>NUC!D37</f>
        <v>5.0000000000000044E-2</v>
      </c>
      <c r="D94" s="18">
        <f>NUC!E37</f>
        <v>0.98</v>
      </c>
      <c r="G94" s="10" t="str">
        <f t="shared" si="2"/>
        <v>nu,MINNUC-09,0.05,0.98</v>
      </c>
    </row>
    <row r="95" spans="1:7" x14ac:dyDescent="0.25">
      <c r="A95" s="18" t="str">
        <f t="shared" si="3"/>
        <v>nu</v>
      </c>
      <c r="B95" s="18" t="str">
        <f>NUC!$C38</f>
        <v>MINNUC-10</v>
      </c>
      <c r="C95" s="18">
        <f>NUC!D38</f>
        <v>5.0000000000000044E-2</v>
      </c>
      <c r="D95" s="18">
        <f>NUC!E38</f>
        <v>0.99</v>
      </c>
      <c r="G95" s="10" t="str">
        <f t="shared" si="2"/>
        <v>nu,MINNUC-10,0.05,0.99</v>
      </c>
    </row>
    <row r="96" spans="1:7" x14ac:dyDescent="0.25">
      <c r="A96" s="18" t="str">
        <f t="shared" si="3"/>
        <v>nu</v>
      </c>
      <c r="B96" s="18" t="str">
        <f>NUC!$C39</f>
        <v>MINNUC-11</v>
      </c>
      <c r="C96" s="18">
        <f>NUC!D39</f>
        <v>5.0000000000000044E-2</v>
      </c>
      <c r="D96" s="18">
        <f>NUC!E39</f>
        <v>1</v>
      </c>
      <c r="G96" s="10" t="str">
        <f t="shared" si="2"/>
        <v>nu,MINNUC-11,0.05,1</v>
      </c>
    </row>
    <row r="97" spans="1:7" x14ac:dyDescent="0.25">
      <c r="A97" s="18" t="str">
        <f t="shared" si="3"/>
        <v>nu</v>
      </c>
      <c r="B97" s="18" t="str">
        <f>NUC!$C40</f>
        <v>MINNUC-12</v>
      </c>
      <c r="C97" s="18">
        <f>NUC!D40</f>
        <v>0.10000000000000009</v>
      </c>
      <c r="D97" s="18">
        <f>NUC!E40</f>
        <v>1.02</v>
      </c>
      <c r="G97" s="10" t="str">
        <f t="shared" si="2"/>
        <v>nu,MINNUC-12,0.1,1.02</v>
      </c>
    </row>
    <row r="98" spans="1:7" x14ac:dyDescent="0.25">
      <c r="A98" s="18" t="str">
        <f t="shared" si="3"/>
        <v>nu</v>
      </c>
      <c r="B98" s="18" t="str">
        <f>NUC!$C41</f>
        <v>MINNUC-13</v>
      </c>
      <c r="C98" s="18">
        <f>NUC!D41</f>
        <v>0.10000000000000009</v>
      </c>
      <c r="D98" s="18">
        <f>NUC!E41</f>
        <v>1.04</v>
      </c>
      <c r="G98" s="10" t="str">
        <f t="shared" si="2"/>
        <v>nu,MINNUC-13,0.1,1.04</v>
      </c>
    </row>
    <row r="99" spans="1:7" x14ac:dyDescent="0.25">
      <c r="A99" s="18" t="str">
        <f t="shared" si="3"/>
        <v>nu</v>
      </c>
      <c r="B99" s="18" t="str">
        <f>NUC!$C42</f>
        <v>MINNUC-14</v>
      </c>
      <c r="C99" s="18">
        <f>NUC!D42</f>
        <v>0.10000000000000009</v>
      </c>
      <c r="D99" s="18">
        <f>NUC!E42</f>
        <v>1.06</v>
      </c>
      <c r="G99" s="10" t="str">
        <f t="shared" si="2"/>
        <v>nu,MINNUC-14,0.1,1.06</v>
      </c>
    </row>
    <row r="100" spans="1:7" x14ac:dyDescent="0.25">
      <c r="A100" s="18" t="str">
        <f t="shared" si="3"/>
        <v>nu</v>
      </c>
      <c r="B100" s="18" t="str">
        <f>NUC!$C43</f>
        <v>MINNUC-15</v>
      </c>
      <c r="C100" s="18">
        <f>NUC!D43</f>
        <v>0.10000000000000009</v>
      </c>
      <c r="D100" s="18">
        <f>NUC!E43</f>
        <v>1.08</v>
      </c>
      <c r="G100" s="10" t="str">
        <f t="shared" si="2"/>
        <v>nu,MINNUC-15,0.1,1.08</v>
      </c>
    </row>
    <row r="101" spans="1:7" x14ac:dyDescent="0.25">
      <c r="A101" s="18" t="str">
        <f t="shared" si="3"/>
        <v>nu</v>
      </c>
      <c r="B101" s="18" t="str">
        <f>NUC!$C44</f>
        <v>MINNUC-16</v>
      </c>
      <c r="C101" s="18">
        <f>NUC!D44</f>
        <v>0.10000000000000009</v>
      </c>
      <c r="D101" s="18">
        <f>NUC!E44</f>
        <v>1.1000000000000001</v>
      </c>
      <c r="G101" s="10" t="str">
        <f t="shared" si="2"/>
        <v>nu,MINNUC-16,0.1,1.1</v>
      </c>
    </row>
    <row r="102" spans="1:7" x14ac:dyDescent="0.25">
      <c r="A102" s="18" t="str">
        <f t="shared" si="3"/>
        <v>nu</v>
      </c>
      <c r="B102" s="18" t="str">
        <f>NUC!$C45</f>
        <v>MINNUC-17</v>
      </c>
      <c r="C102" s="18">
        <f>NUC!D45</f>
        <v>0.10000000000000009</v>
      </c>
      <c r="D102" s="18">
        <f>NUC!E45</f>
        <v>1.1200000000000001</v>
      </c>
      <c r="G102" s="10" t="str">
        <f t="shared" si="2"/>
        <v>nu,MINNUC-17,0.1,1.12</v>
      </c>
    </row>
    <row r="103" spans="1:7" x14ac:dyDescent="0.25">
      <c r="A103" s="18" t="str">
        <f t="shared" si="3"/>
        <v>nu</v>
      </c>
      <c r="B103" s="18" t="str">
        <f>NUC!$C46</f>
        <v>MINNUC-18</v>
      </c>
      <c r="C103" s="18">
        <f>NUC!D46</f>
        <v>0.10000000000000009</v>
      </c>
      <c r="D103" s="18">
        <f>NUC!E46</f>
        <v>1.1399999999999999</v>
      </c>
      <c r="G103" s="10" t="str">
        <f t="shared" si="2"/>
        <v>nu,MINNUC-18,0.1,1.14</v>
      </c>
    </row>
    <row r="104" spans="1:7" x14ac:dyDescent="0.25">
      <c r="A104" s="18" t="str">
        <f t="shared" si="3"/>
        <v>nu</v>
      </c>
      <c r="B104" s="18" t="str">
        <f>NUC!$C47</f>
        <v>MINNUC-19</v>
      </c>
      <c r="C104" s="18">
        <f>NUC!D47</f>
        <v>0.10000000000000009</v>
      </c>
      <c r="D104" s="18">
        <f>NUC!E47</f>
        <v>1.1599999999999999</v>
      </c>
      <c r="G104" s="10" t="str">
        <f t="shared" si="2"/>
        <v>nu,MINNUC-19,0.1,1.16</v>
      </c>
    </row>
    <row r="105" spans="1:7" x14ac:dyDescent="0.25">
      <c r="A105" s="18" t="str">
        <f t="shared" si="3"/>
        <v>nu</v>
      </c>
      <c r="B105" s="18" t="str">
        <f>NUC!$C48</f>
        <v>MINNUC-20</v>
      </c>
      <c r="C105" s="18">
        <f>NUC!D48</f>
        <v>0.10000000000000009</v>
      </c>
      <c r="D105" s="18">
        <f>NUC!E48</f>
        <v>1.18</v>
      </c>
      <c r="G105" s="10" t="str">
        <f t="shared" si="2"/>
        <v>nu,MINNUC-20,0.1,1.18</v>
      </c>
    </row>
    <row r="106" spans="1:7" x14ac:dyDescent="0.25">
      <c r="A106" s="18" t="str">
        <f t="shared" si="3"/>
        <v>nu</v>
      </c>
      <c r="B106" s="18" t="str">
        <f>NUC!$C49</f>
        <v>MINNUC-21</v>
      </c>
      <c r="C106" s="18">
        <f>NUC!D49</f>
        <v>0.10000000000000009</v>
      </c>
      <c r="D106" s="18">
        <f>NUC!E49</f>
        <v>1.2</v>
      </c>
      <c r="G106" s="10" t="str">
        <f t="shared" si="2"/>
        <v>nu,MINNUC-21,0.1,1.2</v>
      </c>
    </row>
    <row r="107" spans="1:7" x14ac:dyDescent="0.25">
      <c r="A107" s="18" t="str">
        <f t="shared" si="3"/>
        <v>ds</v>
      </c>
      <c r="B107" s="18" t="str">
        <f>'OilDST-Min'!$C29</f>
        <v>MinDst-01</v>
      </c>
      <c r="C107" s="18">
        <f>'OilDST-Min'!D29</f>
        <v>0.49999999999999961</v>
      </c>
      <c r="D107" s="18">
        <f>'OilDST-Min'!E29</f>
        <v>0</v>
      </c>
      <c r="G107" s="10" t="str">
        <f t="shared" si="2"/>
        <v>ds,MinDst-01,0.5,0</v>
      </c>
    </row>
    <row r="108" spans="1:7" x14ac:dyDescent="0.25">
      <c r="A108" s="18" t="str">
        <f t="shared" si="3"/>
        <v>ds</v>
      </c>
      <c r="B108" s="18" t="str">
        <f>'OilDST-Min'!$C30</f>
        <v>MinDst-02</v>
      </c>
      <c r="C108" s="18">
        <f>'OilDST-Min'!D30</f>
        <v>4.9999999999999989E-2</v>
      </c>
      <c r="D108" s="18">
        <f>'OilDST-Min'!E30</f>
        <v>7.9500000000000001E-2</v>
      </c>
      <c r="G108" s="10" t="str">
        <f t="shared" si="2"/>
        <v>ds,MinDst-02,0.05,0.0795</v>
      </c>
    </row>
    <row r="109" spans="1:7" x14ac:dyDescent="0.25">
      <c r="A109" s="18" t="str">
        <f t="shared" si="3"/>
        <v>ds</v>
      </c>
      <c r="B109" s="18" t="str">
        <f>'OilDST-Min'!$C31</f>
        <v>MinDst-03</v>
      </c>
      <c r="C109" s="18">
        <f>'OilDST-Min'!D31</f>
        <v>5.0000000000000044E-2</v>
      </c>
      <c r="D109" s="18">
        <f>'OilDST-Min'!E31</f>
        <v>0.1628</v>
      </c>
      <c r="G109" s="10" t="str">
        <f t="shared" si="2"/>
        <v>ds,MinDst-03,0.05,0.1628</v>
      </c>
    </row>
    <row r="110" spans="1:7" x14ac:dyDescent="0.25">
      <c r="A110" s="18" t="str">
        <f t="shared" si="3"/>
        <v>ds</v>
      </c>
      <c r="B110" s="18" t="str">
        <f>'OilDST-Min'!$C32</f>
        <v>MinDst-04</v>
      </c>
      <c r="C110" s="18">
        <f>'OilDST-Min'!D32</f>
        <v>5.0000000000000044E-2</v>
      </c>
      <c r="D110" s="18">
        <f>'OilDST-Min'!E32</f>
        <v>0.25</v>
      </c>
      <c r="G110" s="10" t="str">
        <f t="shared" si="2"/>
        <v>ds,MinDst-04,0.05,0.25</v>
      </c>
    </row>
    <row r="111" spans="1:7" x14ac:dyDescent="0.25">
      <c r="A111" s="18" t="str">
        <f t="shared" si="3"/>
        <v>ds</v>
      </c>
      <c r="B111" s="18" t="str">
        <f>'OilDST-Min'!$C33</f>
        <v>MinDst-05</v>
      </c>
      <c r="C111" s="18">
        <f>'OilDST-Min'!D33</f>
        <v>5.0000000000000044E-2</v>
      </c>
      <c r="D111" s="18">
        <f>'OilDST-Min'!E33</f>
        <v>0.34150000000000003</v>
      </c>
      <c r="G111" s="10" t="str">
        <f t="shared" si="2"/>
        <v>ds,MinDst-05,0.05,0.3415</v>
      </c>
    </row>
    <row r="112" spans="1:7" x14ac:dyDescent="0.25">
      <c r="A112" s="18" t="str">
        <f t="shared" si="3"/>
        <v>ds</v>
      </c>
      <c r="B112" s="18" t="str">
        <f>'OilDST-Min'!$C34</f>
        <v>MinDst-06</v>
      </c>
      <c r="C112" s="18">
        <f>'OilDST-Min'!D34</f>
        <v>5.0000000000000044E-2</v>
      </c>
      <c r="D112" s="18">
        <f>'OilDST-Min'!E34</f>
        <v>0.4375</v>
      </c>
      <c r="G112" s="10" t="str">
        <f t="shared" si="2"/>
        <v>ds,MinDst-06,0.05,0.4375</v>
      </c>
    </row>
    <row r="113" spans="1:7" x14ac:dyDescent="0.25">
      <c r="A113" s="18" t="str">
        <f t="shared" si="3"/>
        <v>ds</v>
      </c>
      <c r="B113" s="18" t="str">
        <f>'OilDST-Min'!$C35</f>
        <v>MinDst-07</v>
      </c>
      <c r="C113" s="18">
        <f>'OilDST-Min'!D35</f>
        <v>5.0000000000000044E-2</v>
      </c>
      <c r="D113" s="18">
        <f>'OilDST-Min'!E35</f>
        <v>0.53849999999999998</v>
      </c>
      <c r="G113" s="10" t="str">
        <f t="shared" si="2"/>
        <v>ds,MinDst-07,0.05,0.5385</v>
      </c>
    </row>
    <row r="114" spans="1:7" x14ac:dyDescent="0.25">
      <c r="A114" s="18" t="str">
        <f t="shared" si="3"/>
        <v>ds</v>
      </c>
      <c r="B114" s="18" t="str">
        <f>'OilDST-Min'!$C36</f>
        <v>MinDst-08</v>
      </c>
      <c r="C114" s="18">
        <f>'OilDST-Min'!D36</f>
        <v>5.0000000000000044E-2</v>
      </c>
      <c r="D114" s="18">
        <f>'OilDST-Min'!E36</f>
        <v>0.64470000000000005</v>
      </c>
      <c r="G114" s="10" t="str">
        <f t="shared" si="2"/>
        <v>ds,MinDst-08,0.05,0.6447</v>
      </c>
    </row>
    <row r="115" spans="1:7" x14ac:dyDescent="0.25">
      <c r="A115" s="18" t="str">
        <f t="shared" si="3"/>
        <v>ds</v>
      </c>
      <c r="B115" s="18" t="str">
        <f>'OilDST-Min'!$C37</f>
        <v>MinDst-09</v>
      </c>
      <c r="C115" s="18">
        <f>'OilDST-Min'!D37</f>
        <v>5.0000000000000044E-2</v>
      </c>
      <c r="D115" s="18">
        <f>'OilDST-Min'!E37</f>
        <v>0.75680000000000003</v>
      </c>
      <c r="G115" s="10" t="str">
        <f t="shared" si="2"/>
        <v>ds,MinDst-09,0.05,0.7568</v>
      </c>
    </row>
    <row r="116" spans="1:7" x14ac:dyDescent="0.25">
      <c r="A116" s="18" t="str">
        <f t="shared" si="3"/>
        <v>ds</v>
      </c>
      <c r="B116" s="18" t="str">
        <f>'OilDST-Min'!$C38</f>
        <v>MinDst-10</v>
      </c>
      <c r="C116" s="18">
        <f>'OilDST-Min'!D38</f>
        <v>5.0000000000000044E-2</v>
      </c>
      <c r="D116" s="18">
        <f>'OilDST-Min'!E38</f>
        <v>0.875</v>
      </c>
      <c r="G116" s="10" t="str">
        <f t="shared" si="2"/>
        <v>ds,MinDst-10,0.05,0.875</v>
      </c>
    </row>
    <row r="117" spans="1:7" x14ac:dyDescent="0.25">
      <c r="A117" s="18" t="str">
        <f t="shared" si="3"/>
        <v>ds</v>
      </c>
      <c r="B117" s="18" t="str">
        <f>'OilDST-Min'!$C39</f>
        <v>MinDst-11</v>
      </c>
      <c r="C117" s="18">
        <f>'OilDST-Min'!D39</f>
        <v>5.0000000000000044E-2</v>
      </c>
      <c r="D117" s="18">
        <f>'OilDST-Min'!E39</f>
        <v>1</v>
      </c>
      <c r="G117" s="10" t="str">
        <f t="shared" si="2"/>
        <v>ds,MinDst-11,0.05,1</v>
      </c>
    </row>
    <row r="118" spans="1:7" x14ac:dyDescent="0.25">
      <c r="A118" s="18" t="str">
        <f t="shared" si="3"/>
        <v>ds</v>
      </c>
      <c r="B118" s="18" t="str">
        <f>'OilDST-Min'!$C40</f>
        <v>MinDst-12</v>
      </c>
      <c r="C118" s="18">
        <f>'OilDST-Min'!D40</f>
        <v>1</v>
      </c>
      <c r="D118" s="18">
        <f>'OilDST-Min'!E40</f>
        <v>1.05</v>
      </c>
      <c r="G118" s="10" t="str">
        <f t="shared" si="2"/>
        <v>ds,MinDst-12,1,1.05</v>
      </c>
    </row>
    <row r="119" spans="1:7" x14ac:dyDescent="0.25">
      <c r="A119" s="18" t="str">
        <f t="shared" si="3"/>
        <v>ds</v>
      </c>
      <c r="B119" s="18" t="str">
        <f>'OilDST-Min'!$C41</f>
        <v>MinDst-13</v>
      </c>
      <c r="C119" s="18">
        <f>'OilDST-Min'!D41</f>
        <v>1</v>
      </c>
      <c r="D119" s="18">
        <f>'OilDST-Min'!E41</f>
        <v>1.1000000000000001</v>
      </c>
      <c r="G119" s="10" t="str">
        <f t="shared" si="2"/>
        <v>ds,MinDst-13,1,1.1</v>
      </c>
    </row>
    <row r="120" spans="1:7" x14ac:dyDescent="0.25">
      <c r="A120" s="18" t="str">
        <f t="shared" si="3"/>
        <v>ds</v>
      </c>
      <c r="B120" s="18" t="str">
        <f>'OilDST-Min'!$C42</f>
        <v>MinDst-14</v>
      </c>
      <c r="C120" s="18">
        <f>'OilDST-Min'!D42</f>
        <v>1</v>
      </c>
      <c r="D120" s="18">
        <f>'OilDST-Min'!E42</f>
        <v>1.1499999999999999</v>
      </c>
      <c r="G120" s="10" t="str">
        <f t="shared" si="2"/>
        <v>ds,MinDst-14,1,1.15</v>
      </c>
    </row>
    <row r="121" spans="1:7" x14ac:dyDescent="0.25">
      <c r="A121" s="18" t="str">
        <f t="shared" si="3"/>
        <v>ds</v>
      </c>
      <c r="B121" s="18" t="str">
        <f>'OilDST-Min'!$C43</f>
        <v>MinDst-15</v>
      </c>
      <c r="C121" s="18">
        <f>'OilDST-Min'!D43</f>
        <v>1</v>
      </c>
      <c r="D121" s="18">
        <f>'OilDST-Min'!E43</f>
        <v>1.2</v>
      </c>
      <c r="G121" s="10" t="str">
        <f t="shared" si="2"/>
        <v>ds,MinDst-15,1,1.2</v>
      </c>
    </row>
    <row r="122" spans="1:7" x14ac:dyDescent="0.25">
      <c r="A122" s="18" t="str">
        <f t="shared" si="3"/>
        <v>ds</v>
      </c>
      <c r="B122" s="18" t="str">
        <f>'OilDST-Min'!$C44</f>
        <v>MinDst-16</v>
      </c>
      <c r="C122" s="18">
        <f>'OilDST-Min'!D44</f>
        <v>1</v>
      </c>
      <c r="D122" s="18">
        <f>'OilDST-Min'!E44</f>
        <v>1.25</v>
      </c>
      <c r="G122" s="10" t="str">
        <f t="shared" si="2"/>
        <v>ds,MinDst-16,1,1.25</v>
      </c>
    </row>
    <row r="123" spans="1:7" x14ac:dyDescent="0.25">
      <c r="A123" s="18" t="str">
        <f t="shared" si="3"/>
        <v>ds</v>
      </c>
      <c r="B123" s="18" t="str">
        <f>'OilDST-Min'!$C45</f>
        <v>MinDst-17</v>
      </c>
      <c r="C123" s="18">
        <f>'OilDST-Min'!D45</f>
        <v>1</v>
      </c>
      <c r="D123" s="18">
        <f>'OilDST-Min'!E45</f>
        <v>1.3</v>
      </c>
      <c r="G123" s="10" t="str">
        <f t="shared" si="2"/>
        <v>ds,MinDst-17,1,1.3</v>
      </c>
    </row>
    <row r="124" spans="1:7" x14ac:dyDescent="0.25">
      <c r="A124" s="18" t="str">
        <f t="shared" si="3"/>
        <v>ds</v>
      </c>
      <c r="B124" s="18" t="str">
        <f>'OilDST-Min'!$C46</f>
        <v>MinDst-18</v>
      </c>
      <c r="C124" s="18">
        <f>'OilDST-Min'!D46</f>
        <v>1</v>
      </c>
      <c r="D124" s="18">
        <f>'OilDST-Min'!E46</f>
        <v>1.35</v>
      </c>
      <c r="G124" s="10" t="str">
        <f t="shared" si="2"/>
        <v>ds,MinDst-18,1,1.35</v>
      </c>
    </row>
    <row r="125" spans="1:7" x14ac:dyDescent="0.25">
      <c r="A125" s="18" t="str">
        <f t="shared" si="3"/>
        <v>ds</v>
      </c>
      <c r="B125" s="18" t="str">
        <f>'OilDST-Min'!$C47</f>
        <v>MinDst-19</v>
      </c>
      <c r="C125" s="18">
        <f>'OilDST-Min'!D47</f>
        <v>1</v>
      </c>
      <c r="D125" s="18">
        <f>'OilDST-Min'!E47</f>
        <v>1.4</v>
      </c>
      <c r="G125" s="10" t="str">
        <f t="shared" si="2"/>
        <v>ds,MinDst-19,1,1.4</v>
      </c>
    </row>
    <row r="126" spans="1:7" x14ac:dyDescent="0.25">
      <c r="A126" s="18" t="str">
        <f t="shared" si="3"/>
        <v>ds</v>
      </c>
      <c r="B126" s="18" t="str">
        <f>'OilDST-Min'!$C48</f>
        <v>MinDst-20</v>
      </c>
      <c r="C126" s="18">
        <f>'OilDST-Min'!D48</f>
        <v>1</v>
      </c>
      <c r="D126" s="18">
        <f>'OilDST-Min'!E48</f>
        <v>1.45</v>
      </c>
      <c r="G126" s="10" t="str">
        <f t="shared" si="2"/>
        <v>ds,MinDst-20,1,1.45</v>
      </c>
    </row>
    <row r="127" spans="1:7" x14ac:dyDescent="0.25">
      <c r="A127" s="18" t="str">
        <f t="shared" si="3"/>
        <v>ds</v>
      </c>
      <c r="B127" s="18" t="str">
        <f>'OilDST-Min'!$C49</f>
        <v>MinDst-21</v>
      </c>
      <c r="C127" s="18">
        <f>'OilDST-Min'!D49</f>
        <v>1</v>
      </c>
      <c r="D127" s="18">
        <f>'OilDST-Min'!E49</f>
        <v>1.5</v>
      </c>
      <c r="G127" s="10" t="str">
        <f t="shared" si="2"/>
        <v>ds,MinDst-21,1,1.5</v>
      </c>
    </row>
  </sheetData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F539B-3D55-45F3-A8D3-9A6303C64FB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Gas-Min</vt:lpstr>
      <vt:lpstr>Coal-Min</vt:lpstr>
      <vt:lpstr>OilDST-Min</vt:lpstr>
      <vt:lpstr>Bio-MIN</vt:lpstr>
      <vt:lpstr>Oil-Min</vt:lpstr>
      <vt:lpstr>ELC-Ren</vt:lpstr>
      <vt:lpstr>NUC</vt:lpstr>
      <vt:lpstr>_IEMMSuppCurveShaping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2014-05-02T12:21:41Z</dcterms:created>
  <dcterms:modified xsi:type="dcterms:W3CDTF">2021-02-10T12:54:01Z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112998604774475</vt:r8>
  </property>
</Properties>
</file>