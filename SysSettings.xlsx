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60_10-1\"/>
    </mc:Choice>
  </mc:AlternateContent>
  <xr:revisionPtr revIDLastSave="0" documentId="13_ncr:1_{F176B847-2B96-434D-81AB-0687E8182B3D}" xr6:coauthVersionLast="47" xr6:coauthVersionMax="47" xr10:uidLastSave="{00000000-0000-0000-0000-000000000000}"/>
  <bookViews>
    <workbookView xWindow="3120" yWindow="3120" windowWidth="21600" windowHeight="11385" tabRatio="853" activeTab="5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0" l="1"/>
  <c r="B8" i="20"/>
  <c r="B19" i="14"/>
  <c r="E4" i="14"/>
  <c r="B3" i="14"/>
  <c r="F14" i="20" l="1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<sst xmlns="http://schemas.openxmlformats.org/spreadsheetml/2006/main" count="368" uniqueCount="266">
  <si>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</si>
  <si>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</si>
  <si>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</si>
  <si>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</si>
  <si>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</si>
  <si>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</si>
  <si>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</si>
  <si>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</si>
  <si>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</si>
  <si>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</si>
  <si>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</si>
  <si>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</si>
  <si>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</si>
  <si>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</si>
  <si>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</si>
  <si>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</si>
  <si>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</si>
  <si>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</si>
  <si>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</si>
  <si>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</si>
  <si>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</si>
  <si>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</si>
  <si>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</si>
  <si>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</si>
  <si>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</si>
  <si>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</si>
  <si>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</si>
  <si>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</si>
  <si>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</si>
  <si>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</si>
  <si>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</si>
  <si>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</si>
  <si>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</si>
  <si>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</si>
  <si>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</si>
  <si>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</si>
  <si>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</si>
  <si>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</si>
  <si>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</si>
  <si>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</si>
  <si>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CSet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</si>
  <si>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</si>
  <si>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</si>
  <si>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</si>
  <si>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</si>
  <si>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</si>
  <si>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</si>
  <si>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</si>
  <si>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</si>
  <si>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</si>
  <si>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</si>
  <si>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</si>
  <si>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</si>
  <si>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</si>
  <si>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</si>
  <si>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</si>
  <si>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</si>
  <si>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</si>
  <si>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</si>
  <si>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</si>
  <si>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</si>
  <si>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</si>
  <si>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</si>
  <si>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</si>
  <si>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</si>
  <si>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</si>
  <si>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</si>
  <si>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</si>
  <si>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</si>
  <si>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</si>
  <si>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</si>
  <si>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</si>
  <si>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</si>
  <si>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</si>
  <si>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</si>
  <si>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</si>
  <si>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</si>
  <si>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</si>
  <si>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</si>
  <si>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</si>
  <si>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</si>
  <si>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</si>
  <si>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</si>
  <si>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</si>
  <si>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</si>
  <si>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</si>
  <si>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</si>
  <si>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</si>
  <si>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</si>
  <si>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</si>
  <si>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</si>
  <si>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</si>
  <si>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</si>
  <si>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</si>
  <si>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</si>
  <si>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</si>
  <si>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</si>
  <si>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</si>
  <si>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</si>
  <si>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</si>
  <si>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</si>
  <si>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</si>
  <si>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</si>
  <si>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</si>
  <si>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</si>
  <si>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</si>
  <si>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</si>
  <si>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</si>
  <si>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</si>
  <si>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</si>
  <si>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CO2 Captured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</si>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</sst>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 * #,##0.00_ ;_ * \-#,##0.00_ ;_ * &quot;-&quot;??_ ;_ @_ "/>
    <numFmt numFmtId="164" formatCode="&quot;$&quot;#,##0_);\(&quot;$&quot;#,##0\)"/>
    <numFmt numFmtId="165" formatCode="_(* #,##0.00_);_(* \(#,##0.00\);_(* &quot;-&quot;??_);_(@_)"/>
    <numFmt numFmtId="166" formatCode="_-* #,##0_-;\-* #,##0_-;_-* &quot;-&quot;_-;_-@_-"/>
    <numFmt numFmtId="167" formatCode="_-&quot;$&quot;* #,##0.00_-;\-&quot;$&quot;* #,##0.00_-;_-&quot;$&quot;* &quot;-&quot;??_-;_-@_-"/>
    <numFmt numFmtId="168" formatCode="_-* #,##0.00_-;\-* #,##0.00_-;_-* &quot;-&quot;??_-;_-@_-"/>
    <numFmt numFmtId="169" formatCode="_-* #,##0.00\ _€_-;\-* #,##0.00\ _€_-;_-* &quot;-&quot;??\ _€_-;_-@_-"/>
    <numFmt numFmtId="170" formatCode="_([$€]* #,##0.00_);_([$€]* \(#,##0.00\);_([$€]* &quot;-&quot;??_);_(@_)"/>
    <numFmt numFmtId="171" formatCode="0.0%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\Te\x\t"/>
    <numFmt numFmtId="180" formatCode="m\o\n\th\ d\,\ yyyy"/>
    <numFmt numFmtId="181" formatCode="#.00"/>
    <numFmt numFmtId="182" formatCode="#."/>
    <numFmt numFmtId="183" formatCode="yyyy"/>
  </numFmts>
  <fonts count="5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</fonts>
  <fills count="4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33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9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9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3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3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12" borderId="0" applyNumberFormat="0" applyBorder="0" applyAlignment="0" applyProtection="0"/>
    <xf numFmtId="0" fontId="15" fillId="8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8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3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1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1" fillId="0" borderId="0" applyNumberFormat="0" applyFont="0" applyFill="0" applyBorder="0" applyProtection="0">
      <alignment horizontal="left" vertical="center" indent="5"/>
    </xf>
    <xf numFmtId="0" fontId="8" fillId="0" borderId="0" applyNumberFormat="0" applyFont="0" applyFill="0" applyBorder="0" applyProtection="0">
      <alignment horizontal="left" vertical="center" indent="5"/>
    </xf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5" borderId="0" applyNumberFormat="0" applyBorder="0" applyAlignment="0" applyProtection="0"/>
    <xf numFmtId="0" fontId="16" fillId="15" borderId="0" applyNumberFormat="0" applyBorder="0" applyAlignment="0" applyProtection="0"/>
    <xf numFmtId="0" fontId="16" fillId="11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1" borderId="0" applyNumberFormat="0" applyBorder="0" applyAlignment="0" applyProtection="0"/>
    <xf numFmtId="0" fontId="16" fillId="13" borderId="0" applyNumberFormat="0" applyBorder="0" applyAlignment="0" applyProtection="0"/>
    <xf numFmtId="0" fontId="16" fillId="16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16" borderId="0" applyNumberFormat="0" applyBorder="0" applyAlignment="0" applyProtection="0"/>
    <xf numFmtId="0" fontId="16" fillId="4" borderId="0" applyNumberFormat="0" applyBorder="0" applyAlignment="0" applyProtection="0"/>
    <xf numFmtId="0" fontId="16" fillId="17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7" borderId="0" applyNumberFormat="0" applyBorder="0" applyAlignment="0" applyProtection="0"/>
    <xf numFmtId="0" fontId="16" fillId="10" borderId="0" applyNumberFormat="0" applyBorder="0" applyAlignment="0" applyProtection="0"/>
    <xf numFmtId="0" fontId="16" fillId="18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8" borderId="0" applyNumberFormat="0" applyBorder="0" applyAlignment="0" applyProtection="0"/>
    <xf numFmtId="0" fontId="16" fillId="5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21" borderId="0" applyNumberFormat="0" applyBorder="0" applyAlignment="0" applyProtection="0"/>
    <xf numFmtId="0" fontId="16" fillId="15" borderId="0" applyNumberFormat="0" applyBorder="0" applyAlignment="0" applyProtection="0"/>
    <xf numFmtId="0" fontId="16" fillId="22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22" borderId="0" applyNumberFormat="0" applyBorder="0" applyAlignment="0" applyProtection="0"/>
    <xf numFmtId="0" fontId="16" fillId="13" borderId="0" applyNumberFormat="0" applyBorder="0" applyAlignment="0" applyProtection="0"/>
    <xf numFmtId="0" fontId="16" fillId="16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23" borderId="0" applyNumberFormat="0" applyBorder="0" applyAlignment="0" applyProtection="0"/>
    <xf numFmtId="0" fontId="16" fillId="16" borderId="0" applyNumberFormat="0" applyBorder="0" applyAlignment="0" applyProtection="0"/>
    <xf numFmtId="0" fontId="16" fillId="2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5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5" borderId="0" applyNumberFormat="0" applyBorder="0" applyAlignment="0" applyProtection="0"/>
    <xf numFmtId="0" fontId="16" fillId="21" borderId="0" applyNumberFormat="0" applyBorder="0" applyAlignment="0" applyProtection="0"/>
    <xf numFmtId="4" fontId="12" fillId="24" borderId="1">
      <alignment horizontal="right" vertical="center"/>
    </xf>
    <xf numFmtId="4" fontId="12" fillId="24" borderId="1">
      <alignment horizontal="right" vertical="center"/>
    </xf>
    <xf numFmtId="0" fontId="17" fillId="4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4" borderId="0" applyNumberFormat="0" applyBorder="0" applyAlignment="0" applyProtection="0"/>
    <xf numFmtId="0" fontId="17" fillId="8" borderId="0" applyNumberFormat="0" applyBorder="0" applyAlignment="0" applyProtection="0"/>
    <xf numFmtId="0" fontId="18" fillId="25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0" fillId="26" borderId="2" applyNumberFormat="0" applyAlignment="0" applyProtection="0"/>
    <xf numFmtId="0" fontId="18" fillId="25" borderId="2" applyNumberFormat="0" applyAlignment="0" applyProtection="0"/>
    <xf numFmtId="0" fontId="10" fillId="26" borderId="2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0" fontId="19" fillId="27" borderId="3" applyNumberFormat="0" applyAlignment="0" applyProtection="0"/>
    <xf numFmtId="49" fontId="8" fillId="28" borderId="4">
      <alignment vertical="top" wrapText="1"/>
    </xf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71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40" fontId="43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40" fontId="43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8" fontId="15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13" fillId="0" borderId="5">
      <alignment horizontal="left" vertical="center" wrapText="1" indent="2"/>
    </xf>
    <xf numFmtId="180" fontId="50" fillId="0" borderId="0">
      <protection locked="0"/>
    </xf>
    <xf numFmtId="180" fontId="50" fillId="0" borderId="0">
      <protection locked="0"/>
    </xf>
    <xf numFmtId="3" fontId="34" fillId="0" borderId="4">
      <alignment horizontal="right" vertical="top"/>
    </xf>
    <xf numFmtId="0" fontId="3" fillId="29" borderId="1">
      <alignment horizontal="centerContinuous" vertical="top" wrapText="1"/>
    </xf>
    <xf numFmtId="0" fontId="35" fillId="0" borderId="0">
      <alignment vertical="top" wrapText="1"/>
    </xf>
    <xf numFmtId="170" fontId="11" fillId="0" borderId="0" applyFont="0" applyFill="0" applyBorder="0" applyAlignment="0" applyProtection="0"/>
    <xf numFmtId="174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0" fontId="8" fillId="0" borderId="0" applyFont="0" applyFill="0" applyBorder="0" applyAlignment="0" applyProtection="0"/>
    <xf numFmtId="176" fontId="3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1" fontId="50" fillId="0" borderId="0">
      <protection locked="0"/>
    </xf>
    <xf numFmtId="181" fontId="50" fillId="0" borderId="0">
      <protection locked="0"/>
    </xf>
    <xf numFmtId="0" fontId="21" fillId="6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6" borderId="0" applyNumberFormat="0" applyBorder="0" applyAlignment="0" applyProtection="0"/>
    <xf numFmtId="0" fontId="21" fillId="10" borderId="0" applyNumberFormat="0" applyBorder="0" applyAlignment="0" applyProtection="0"/>
    <xf numFmtId="0" fontId="22" fillId="0" borderId="6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2" fillId="0" borderId="6" applyNumberFormat="0" applyFill="0" applyAlignment="0" applyProtection="0"/>
    <xf numFmtId="0" fontId="44" fillId="0" borderId="7" applyNumberFormat="0" applyFill="0" applyAlignment="0" applyProtection="0"/>
    <xf numFmtId="0" fontId="23" fillId="0" borderId="8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45" fillId="0" borderId="9" applyNumberFormat="0" applyFill="0" applyAlignment="0" applyProtection="0"/>
    <xf numFmtId="0" fontId="23" fillId="0" borderId="8" applyNumberFormat="0" applyFill="0" applyAlignment="0" applyProtection="0"/>
    <xf numFmtId="0" fontId="45" fillId="0" borderId="9" applyNumberFormat="0" applyFill="0" applyAlignment="0" applyProtection="0"/>
    <xf numFmtId="0" fontId="24" fillId="0" borderId="10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46" fillId="0" borderId="11" applyNumberFormat="0" applyFill="0" applyAlignment="0" applyProtection="0"/>
    <xf numFmtId="0" fontId="24" fillId="0" borderId="10" applyNumberFormat="0" applyFill="0" applyAlignment="0" applyProtection="0"/>
    <xf numFmtId="0" fontId="46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82" fontId="51" fillId="0" borderId="0">
      <protection locked="0"/>
    </xf>
    <xf numFmtId="182" fontId="51" fillId="0" borderId="0">
      <protection locked="0"/>
    </xf>
    <xf numFmtId="182" fontId="51" fillId="0" borderId="0">
      <protection locked="0"/>
    </xf>
    <xf numFmtId="182" fontId="51" fillId="0" borderId="0"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5" fillId="9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12" borderId="2" applyNumberFormat="0" applyAlignment="0" applyProtection="0"/>
    <xf numFmtId="0" fontId="25" fillId="9" borderId="2" applyNumberFormat="0" applyAlignment="0" applyProtection="0"/>
    <xf numFmtId="0" fontId="25" fillId="12" borderId="2" applyNumberFormat="0" applyAlignment="0" applyProtection="0"/>
    <xf numFmtId="4" fontId="13" fillId="0" borderId="0" applyBorder="0">
      <alignment horizontal="right" vertical="center"/>
    </xf>
    <xf numFmtId="0" fontId="36" fillId="0" borderId="0"/>
    <xf numFmtId="0" fontId="26" fillId="0" borderId="12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30" fillId="0" borderId="13" applyNumberFormat="0" applyFill="0" applyAlignment="0" applyProtection="0"/>
    <xf numFmtId="0" fontId="26" fillId="0" borderId="12" applyNumberFormat="0" applyFill="0" applyAlignment="0" applyProtection="0"/>
    <xf numFmtId="0" fontId="30" fillId="0" borderId="13" applyNumberFormat="0" applyFill="0" applyAlignment="0" applyProtection="0"/>
    <xf numFmtId="169" fontId="31" fillId="0" borderId="0" applyFont="0" applyFill="0" applyBorder="0" applyAlignment="0" applyProtection="0"/>
    <xf numFmtId="0" fontId="2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27" fillId="12" borderId="0" applyNumberFormat="0" applyBorder="0" applyAlignment="0" applyProtection="0"/>
    <xf numFmtId="0" fontId="47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164" fontId="48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164" fontId="48" fillId="0" borderId="0">
      <alignment vertical="center"/>
    </xf>
    <xf numFmtId="164" fontId="48" fillId="0" borderId="0">
      <alignment vertical="center"/>
    </xf>
    <xf numFmtId="164" fontId="48" fillId="0" borderId="0">
      <alignment vertical="center"/>
    </xf>
    <xf numFmtId="164" fontId="48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164" fontId="48" fillId="0" borderId="0">
      <alignment vertical="center"/>
    </xf>
    <xf numFmtId="164" fontId="48" fillId="0" borderId="0">
      <alignment vertical="center"/>
    </xf>
    <xf numFmtId="164" fontId="4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164" fontId="48" fillId="0" borderId="0">
      <alignment vertical="center"/>
    </xf>
    <xf numFmtId="164" fontId="48" fillId="0" borderId="0">
      <alignment vertical="center"/>
    </xf>
    <xf numFmtId="164" fontId="48" fillId="0" borderId="0">
      <alignment vertical="center"/>
    </xf>
    <xf numFmtId="164" fontId="48" fillId="0" borderId="0">
      <alignment vertical="center"/>
    </xf>
    <xf numFmtId="0" fontId="52" fillId="0" borderId="0"/>
    <xf numFmtId="171" fontId="48" fillId="0" borderId="0">
      <alignment vertical="center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1" fontId="4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8" fontId="48" fillId="0" borderId="0">
      <alignment vertical="center"/>
    </xf>
    <xf numFmtId="0" fontId="31" fillId="0" borderId="0"/>
    <xf numFmtId="0" fontId="8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" fontId="13" fillId="0" borderId="1" applyFill="0" applyBorder="0" applyProtection="0">
      <alignment horizontal="right" vertical="center"/>
    </xf>
    <xf numFmtId="0" fontId="14" fillId="0" borderId="0" applyNumberFormat="0" applyFill="0" applyBorder="0" applyProtection="0">
      <alignment horizontal="left" vertical="center"/>
    </xf>
    <xf numFmtId="0" fontId="11" fillId="30" borderId="0" applyNumberFormat="0" applyFont="0" applyBorder="0" applyAlignment="0" applyProtection="0"/>
    <xf numFmtId="0" fontId="8" fillId="30" borderId="0" applyNumberFormat="0" applyFont="0" applyBorder="0" applyAlignment="0" applyProtection="0"/>
    <xf numFmtId="0" fontId="32" fillId="0" borderId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15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15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0" fontId="8" fillId="7" borderId="14" applyNumberFormat="0" applyFont="0" applyAlignment="0" applyProtection="0"/>
    <xf numFmtId="172" fontId="37" fillId="0" borderId="0">
      <alignment horizontal="right"/>
    </xf>
    <xf numFmtId="175" fontId="8" fillId="0" borderId="0" applyFont="0" applyFill="0" applyBorder="0" applyAlignment="0" applyProtection="0"/>
    <xf numFmtId="0" fontId="28" fillId="25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6" borderId="15" applyNumberFormat="0" applyAlignment="0" applyProtection="0"/>
    <xf numFmtId="0" fontId="28" fillId="25" borderId="15" applyNumberFormat="0" applyAlignment="0" applyProtection="0"/>
    <xf numFmtId="0" fontId="28" fillId="26" borderId="15" applyNumberFormat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5" fillId="0" borderId="0">
      <alignment vertical="top" wrapText="1"/>
    </xf>
    <xf numFmtId="0" fontId="2" fillId="0" borderId="0"/>
    <xf numFmtId="183" fontId="8" fillId="0" borderId="0" applyFill="0" applyBorder="0" applyAlignment="0" applyProtection="0">
      <alignment wrapText="1"/>
    </xf>
    <xf numFmtId="183" fontId="8" fillId="0" borderId="0" applyFill="0" applyBorder="0" applyAlignment="0" applyProtection="0">
      <alignment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173" fontId="38" fillId="31" borderId="16">
      <alignment vertical="center"/>
    </xf>
    <xf numFmtId="171" fontId="39" fillId="31" borderId="16">
      <alignment vertical="center"/>
    </xf>
    <xf numFmtId="173" fontId="40" fillId="32" borderId="16">
      <alignment vertical="center"/>
    </xf>
    <xf numFmtId="0" fontId="8" fillId="33" borderId="17" applyBorder="0">
      <alignment horizontal="left" vertical="center"/>
    </xf>
    <xf numFmtId="49" fontId="8" fillId="34" borderId="1">
      <alignment vertical="center" wrapText="1"/>
    </xf>
    <xf numFmtId="0" fontId="8" fillId="35" borderId="18">
      <alignment horizontal="left" vertical="center" wrapText="1"/>
    </xf>
    <xf numFmtId="0" fontId="41" fillId="36" borderId="1">
      <alignment horizontal="left" vertical="center" wrapText="1"/>
    </xf>
    <xf numFmtId="0" fontId="8" fillId="37" borderId="1">
      <alignment horizontal="left" vertical="center" wrapText="1"/>
    </xf>
    <xf numFmtId="0" fontId="8" fillId="38" borderId="1">
      <alignment horizontal="left" vertical="center" wrapText="1"/>
    </xf>
    <xf numFmtId="0" fontId="2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9" fillId="0" borderId="19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20" applyNumberFormat="0" applyFill="0" applyAlignment="0" applyProtection="0"/>
    <xf numFmtId="0" fontId="9" fillId="0" borderId="19" applyNumberFormat="0" applyFill="0" applyAlignment="0" applyProtection="0"/>
    <xf numFmtId="0" fontId="9" fillId="0" borderId="20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4" fontId="13" fillId="0" borderId="0"/>
    <xf numFmtId="0" fontId="33" fillId="0" borderId="0" applyNumberFormat="0" applyFill="0" applyBorder="0" applyAlignment="0" applyProtection="0">
      <alignment vertical="center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49" fontId="2" fillId="28" borderId="4">
      <alignment vertical="top" wrapText="1"/>
    </xf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30" borderId="0" applyNumberFormat="0" applyFont="0" applyBorder="0" applyAlignment="0" applyProtection="0"/>
    <xf numFmtId="0" fontId="2" fillId="30" borderId="0" applyNumberFormat="0" applyFont="0" applyBorder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0" fontId="2" fillId="7" borderId="14" applyNumberFormat="0" applyFont="0" applyAlignment="0" applyProtection="0"/>
    <xf numFmtId="17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3" fontId="2" fillId="0" borderId="0" applyFill="0" applyBorder="0" applyAlignment="0" applyProtection="0">
      <alignment wrapText="1"/>
    </xf>
    <xf numFmtId="183" fontId="2" fillId="0" borderId="0" applyFill="0" applyBorder="0" applyAlignment="0" applyProtection="0">
      <alignment wrapText="1"/>
    </xf>
    <xf numFmtId="0" fontId="2" fillId="33" borderId="17" applyBorder="0">
      <alignment horizontal="left" vertical="center"/>
    </xf>
    <xf numFmtId="49" fontId="2" fillId="34" borderId="1">
      <alignment vertical="center" wrapText="1"/>
    </xf>
    <xf numFmtId="0" fontId="2" fillId="35" borderId="18">
      <alignment horizontal="left" vertical="center" wrapText="1"/>
    </xf>
    <xf numFmtId="0" fontId="2" fillId="37" borderId="1">
      <alignment horizontal="left" vertical="center" wrapText="1"/>
    </xf>
    <xf numFmtId="0" fontId="2" fillId="38" borderId="1">
      <alignment horizontal="left" vertical="center" wrapText="1"/>
    </xf>
    <xf numFmtId="0" fontId="57" fillId="44" borderId="0" applyNumberFormat="0" applyBorder="0" applyAlignment="0" applyProtection="0"/>
  </cellStyleXfs>
  <cellXfs count="22">
    <xf numFmtId="0" fontId="0" fillId="0" borderId="0" xfId="0"/>
    <xf numFmtId="0" fontId="5" fillId="0" borderId="0" xfId="0" applyFont="1"/>
    <xf numFmtId="0" fontId="3" fillId="39" borderId="21" xfId="0" applyFont="1" applyFill="1" applyBorder="1"/>
    <xf numFmtId="0" fontId="3" fillId="40" borderId="0" xfId="0" applyFont="1" applyFill="1"/>
    <xf numFmtId="0" fontId="5" fillId="40" borderId="0" xfId="0" applyFont="1" applyFill="1"/>
    <xf numFmtId="0" fontId="3" fillId="0" borderId="0" xfId="0" applyFont="1"/>
    <xf numFmtId="0" fontId="5" fillId="0" borderId="0" xfId="0" quotePrefix="1" applyFont="1" applyAlignment="1">
      <alignment horizontal="left"/>
    </xf>
    <xf numFmtId="0" fontId="7" fillId="40" borderId="0" xfId="0" applyFont="1" applyFill="1"/>
    <xf numFmtId="0" fontId="3" fillId="40" borderId="21" xfId="0" applyFont="1" applyFill="1" applyBorder="1"/>
    <xf numFmtId="0" fontId="2" fillId="0" borderId="0" xfId="0" applyFont="1"/>
    <xf numFmtId="0" fontId="0" fillId="43" borderId="0" xfId="0" applyFill="1"/>
    <xf numFmtId="0" fontId="8" fillId="0" borderId="0" xfId="0" applyFont="1"/>
    <xf numFmtId="179" fontId="0" fillId="0" borderId="0" xfId="0" applyNumberFormat="1"/>
    <xf numFmtId="0" fontId="3" fillId="41" borderId="0" xfId="0" applyFont="1" applyFill="1"/>
    <xf numFmtId="179" fontId="8" fillId="0" borderId="0" xfId="0" applyNumberFormat="1" applyFont="1"/>
    <xf numFmtId="179" fontId="2" fillId="0" borderId="0" xfId="0" applyNumberFormat="1" applyFont="1"/>
    <xf numFmtId="0" fontId="0" fillId="42" borderId="22" xfId="0" applyFill="1" applyBorder="1"/>
    <xf numFmtId="0" fontId="53" fillId="0" borderId="0" xfId="0" applyFont="1"/>
    <xf numFmtId="0" fontId="54" fillId="0" borderId="0" xfId="0" applyFont="1"/>
    <xf numFmtId="0" fontId="0" fillId="42" borderId="0" xfId="0" applyFill="1" applyBorder="1"/>
    <xf numFmtId="0" fontId="57" fillId="44" borderId="0" xfId="2832"/>
    <xf numFmtId="0" fontId="2" fillId="42" borderId="0" xfId="0" applyFont="1" applyFill="1" applyBorder="1"/>
  </cellXfs>
  <cellStyles count="2833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2" xfId="447" xr:uid="{00000000-0005-0000-0000-0000C2010000}"/>
    <cellStyle name="Comma [0] 2 2 2" xfId="1754" xr:uid="{00000000-0005-0000-0000-0000C3010000}"/>
    <cellStyle name="Comma [0] 2 3" xfId="448" xr:uid="{00000000-0005-0000-0000-0000C4010000}"/>
    <cellStyle name="Comma [0] 2 3 2" xfId="1755" xr:uid="{00000000-0005-0000-0000-0000C5010000}"/>
    <cellStyle name="Comma [0] 2 4" xfId="449" xr:uid="{00000000-0005-0000-0000-0000C6010000}"/>
    <cellStyle name="Comma [0] 2 4 2" xfId="1756" xr:uid="{00000000-0005-0000-0000-0000C7010000}"/>
    <cellStyle name="Comma [0] 2 5" xfId="450" xr:uid="{00000000-0005-0000-0000-0000C8010000}"/>
    <cellStyle name="Comma [0] 2 5 2" xfId="1757" xr:uid="{00000000-0005-0000-0000-0000C9010000}"/>
    <cellStyle name="Comma [0] 2 6" xfId="451" xr:uid="{00000000-0005-0000-0000-0000CA010000}"/>
    <cellStyle name="Comma [0] 2 6 2" xfId="1758" xr:uid="{00000000-0005-0000-0000-0000CB010000}"/>
    <cellStyle name="Comma [0] 2 7" xfId="452" xr:uid="{00000000-0005-0000-0000-0000CC010000}"/>
    <cellStyle name="Comma [0] 2 7 2" xfId="1759" xr:uid="{00000000-0005-0000-0000-0000CD010000}"/>
    <cellStyle name="Comma [0] 2 8" xfId="453" xr:uid="{00000000-0005-0000-0000-0000CE010000}"/>
    <cellStyle name="Comma [0] 2 8 2" xfId="1760" xr:uid="{00000000-0005-0000-0000-0000CF010000}"/>
    <cellStyle name="Comma [0] 2 9" xfId="454" xr:uid="{00000000-0005-0000-0000-0000D0010000}"/>
    <cellStyle name="Comma [0] 2 9 2" xfId="1761" xr:uid="{00000000-0005-0000-0000-0000D1010000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1" xfId="457" xr:uid="{00000000-0005-0000-0000-0000D5010000}"/>
    <cellStyle name="Comma 10 2 11 2" xfId="1764" xr:uid="{00000000-0005-0000-0000-0000D6010000}"/>
    <cellStyle name="Comma 10 2 12" xfId="458" xr:uid="{00000000-0005-0000-0000-0000D7010000}"/>
    <cellStyle name="Comma 10 2 12 2" xfId="1765" xr:uid="{00000000-0005-0000-0000-0000D8010000}"/>
    <cellStyle name="Comma 10 2 13" xfId="459" xr:uid="{00000000-0005-0000-0000-0000D9010000}"/>
    <cellStyle name="Comma 10 2 13 2" xfId="1766" xr:uid="{00000000-0005-0000-0000-0000DA010000}"/>
    <cellStyle name="Comma 10 2 14" xfId="460" xr:uid="{00000000-0005-0000-0000-0000DB010000}"/>
    <cellStyle name="Comma 10 2 14 2" xfId="1767" xr:uid="{00000000-0005-0000-0000-0000DC010000}"/>
    <cellStyle name="Comma 10 2 15" xfId="461" xr:uid="{00000000-0005-0000-0000-0000DD010000}"/>
    <cellStyle name="Comma 10 2 15 2" xfId="1768" xr:uid="{00000000-0005-0000-0000-0000DE010000}"/>
    <cellStyle name="Comma 10 2 16" xfId="462" xr:uid="{00000000-0005-0000-0000-0000DF010000}"/>
    <cellStyle name="Comma 10 2 16 2" xfId="1769" xr:uid="{00000000-0005-0000-0000-0000E0010000}"/>
    <cellStyle name="Comma 10 2 17" xfId="463" xr:uid="{00000000-0005-0000-0000-0000E1010000}"/>
    <cellStyle name="Comma 10 2 17 2" xfId="1770" xr:uid="{00000000-0005-0000-0000-0000E2010000}"/>
    <cellStyle name="Comma 10 2 18" xfId="1762" xr:uid="{00000000-0005-0000-0000-0000E3010000}"/>
    <cellStyle name="Comma 10 2 2" xfId="464" xr:uid="{00000000-0005-0000-0000-0000E4010000}"/>
    <cellStyle name="Comma 10 2 2 2" xfId="1771" xr:uid="{00000000-0005-0000-0000-0000E5010000}"/>
    <cellStyle name="Comma 10 2 3" xfId="465" xr:uid="{00000000-0005-0000-0000-0000E6010000}"/>
    <cellStyle name="Comma 10 2 3 2" xfId="1772" xr:uid="{00000000-0005-0000-0000-0000E7010000}"/>
    <cellStyle name="Comma 10 2 4" xfId="466" xr:uid="{00000000-0005-0000-0000-0000E8010000}"/>
    <cellStyle name="Comma 10 2 4 2" xfId="1773" xr:uid="{00000000-0005-0000-0000-0000E9010000}"/>
    <cellStyle name="Comma 10 2 5" xfId="467" xr:uid="{00000000-0005-0000-0000-0000EA010000}"/>
    <cellStyle name="Comma 10 2 5 2" xfId="1774" xr:uid="{00000000-0005-0000-0000-0000EB010000}"/>
    <cellStyle name="Comma 10 2 6" xfId="468" xr:uid="{00000000-0005-0000-0000-0000EC010000}"/>
    <cellStyle name="Comma 10 2 6 2" xfId="1775" xr:uid="{00000000-0005-0000-0000-0000ED010000}"/>
    <cellStyle name="Comma 10 2 7" xfId="469" xr:uid="{00000000-0005-0000-0000-0000EE010000}"/>
    <cellStyle name="Comma 10 2 7 2" xfId="1776" xr:uid="{00000000-0005-0000-0000-0000EF010000}"/>
    <cellStyle name="Comma 10 2 8" xfId="470" xr:uid="{00000000-0005-0000-0000-0000F0010000}"/>
    <cellStyle name="Comma 10 2 8 2" xfId="1777" xr:uid="{00000000-0005-0000-0000-0000F1010000}"/>
    <cellStyle name="Comma 10 2 9" xfId="471" xr:uid="{00000000-0005-0000-0000-0000F2010000}"/>
    <cellStyle name="Comma 10 2 9 2" xfId="1778" xr:uid="{00000000-0005-0000-0000-0000F3010000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1" xfId="474" xr:uid="{00000000-0005-0000-0000-0000F7010000}"/>
    <cellStyle name="Comma 10 3 11 2" xfId="1781" xr:uid="{00000000-0005-0000-0000-0000F8010000}"/>
    <cellStyle name="Comma 10 3 12" xfId="475" xr:uid="{00000000-0005-0000-0000-0000F9010000}"/>
    <cellStyle name="Comma 10 3 12 2" xfId="1782" xr:uid="{00000000-0005-0000-0000-0000FA010000}"/>
    <cellStyle name="Comma 10 3 13" xfId="476" xr:uid="{00000000-0005-0000-0000-0000FB010000}"/>
    <cellStyle name="Comma 10 3 13 2" xfId="1783" xr:uid="{00000000-0005-0000-0000-0000FC010000}"/>
    <cellStyle name="Comma 10 3 14" xfId="477" xr:uid="{00000000-0005-0000-0000-0000FD010000}"/>
    <cellStyle name="Comma 10 3 14 2" xfId="1784" xr:uid="{00000000-0005-0000-0000-0000FE010000}"/>
    <cellStyle name="Comma 10 3 15" xfId="478" xr:uid="{00000000-0005-0000-0000-0000FF010000}"/>
    <cellStyle name="Comma 10 3 15 2" xfId="1785" xr:uid="{00000000-0005-0000-0000-000000020000}"/>
    <cellStyle name="Comma 10 3 16" xfId="479" xr:uid="{00000000-0005-0000-0000-000001020000}"/>
    <cellStyle name="Comma 10 3 16 2" xfId="1786" xr:uid="{00000000-0005-0000-0000-000002020000}"/>
    <cellStyle name="Comma 10 3 17" xfId="480" xr:uid="{00000000-0005-0000-0000-000003020000}"/>
    <cellStyle name="Comma 10 3 17 2" xfId="1787" xr:uid="{00000000-0005-0000-0000-000004020000}"/>
    <cellStyle name="Comma 10 3 18" xfId="1779" xr:uid="{00000000-0005-0000-0000-000005020000}"/>
    <cellStyle name="Comma 10 3 2" xfId="481" xr:uid="{00000000-0005-0000-0000-000006020000}"/>
    <cellStyle name="Comma 10 3 2 2" xfId="1788" xr:uid="{00000000-0005-0000-0000-000007020000}"/>
    <cellStyle name="Comma 10 3 3" xfId="482" xr:uid="{00000000-0005-0000-0000-000008020000}"/>
    <cellStyle name="Comma 10 3 3 2" xfId="1789" xr:uid="{00000000-0005-0000-0000-000009020000}"/>
    <cellStyle name="Comma 10 3 4" xfId="483" xr:uid="{00000000-0005-0000-0000-00000A020000}"/>
    <cellStyle name="Comma 10 3 4 2" xfId="1790" xr:uid="{00000000-0005-0000-0000-00000B020000}"/>
    <cellStyle name="Comma 10 3 5" xfId="484" xr:uid="{00000000-0005-0000-0000-00000C020000}"/>
    <cellStyle name="Comma 10 3 5 2" xfId="1791" xr:uid="{00000000-0005-0000-0000-00000D020000}"/>
    <cellStyle name="Comma 10 3 6" xfId="485" xr:uid="{00000000-0005-0000-0000-00000E020000}"/>
    <cellStyle name="Comma 10 3 6 2" xfId="1792" xr:uid="{00000000-0005-0000-0000-00000F020000}"/>
    <cellStyle name="Comma 10 3 7" xfId="486" xr:uid="{00000000-0005-0000-0000-000010020000}"/>
    <cellStyle name="Comma 10 3 7 2" xfId="1793" xr:uid="{00000000-0005-0000-0000-000011020000}"/>
    <cellStyle name="Comma 10 3 8" xfId="487" xr:uid="{00000000-0005-0000-0000-000012020000}"/>
    <cellStyle name="Comma 10 3 8 2" xfId="1794" xr:uid="{00000000-0005-0000-0000-000013020000}"/>
    <cellStyle name="Comma 10 3 9" xfId="488" xr:uid="{00000000-0005-0000-0000-000014020000}"/>
    <cellStyle name="Comma 10 3 9 2" xfId="1795" xr:uid="{00000000-0005-0000-0000-000015020000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1" xfId="491" xr:uid="{00000000-0005-0000-0000-000019020000}"/>
    <cellStyle name="Comma 10 4 11 2" xfId="1798" xr:uid="{00000000-0005-0000-0000-00001A020000}"/>
    <cellStyle name="Comma 10 4 12" xfId="492" xr:uid="{00000000-0005-0000-0000-00001B020000}"/>
    <cellStyle name="Comma 10 4 12 2" xfId="1799" xr:uid="{00000000-0005-0000-0000-00001C020000}"/>
    <cellStyle name="Comma 10 4 13" xfId="493" xr:uid="{00000000-0005-0000-0000-00001D020000}"/>
    <cellStyle name="Comma 10 4 13 2" xfId="1800" xr:uid="{00000000-0005-0000-0000-00001E020000}"/>
    <cellStyle name="Comma 10 4 14" xfId="494" xr:uid="{00000000-0005-0000-0000-00001F020000}"/>
    <cellStyle name="Comma 10 4 14 2" xfId="1801" xr:uid="{00000000-0005-0000-0000-000020020000}"/>
    <cellStyle name="Comma 10 4 15" xfId="495" xr:uid="{00000000-0005-0000-0000-000021020000}"/>
    <cellStyle name="Comma 10 4 15 2" xfId="1802" xr:uid="{00000000-0005-0000-0000-000022020000}"/>
    <cellStyle name="Comma 10 4 16" xfId="496" xr:uid="{00000000-0005-0000-0000-000023020000}"/>
    <cellStyle name="Comma 10 4 16 2" xfId="1803" xr:uid="{00000000-0005-0000-0000-000024020000}"/>
    <cellStyle name="Comma 10 4 17" xfId="497" xr:uid="{00000000-0005-0000-0000-000025020000}"/>
    <cellStyle name="Comma 10 4 17 2" xfId="1804" xr:uid="{00000000-0005-0000-0000-000026020000}"/>
    <cellStyle name="Comma 10 4 18" xfId="1796" xr:uid="{00000000-0005-0000-0000-000027020000}"/>
    <cellStyle name="Comma 10 4 2" xfId="498" xr:uid="{00000000-0005-0000-0000-000028020000}"/>
    <cellStyle name="Comma 10 4 2 2" xfId="1805" xr:uid="{00000000-0005-0000-0000-000029020000}"/>
    <cellStyle name="Comma 10 4 3" xfId="499" xr:uid="{00000000-0005-0000-0000-00002A020000}"/>
    <cellStyle name="Comma 10 4 3 2" xfId="1806" xr:uid="{00000000-0005-0000-0000-00002B020000}"/>
    <cellStyle name="Comma 10 4 4" xfId="500" xr:uid="{00000000-0005-0000-0000-00002C020000}"/>
    <cellStyle name="Comma 10 4 4 2" xfId="1807" xr:uid="{00000000-0005-0000-0000-00002D020000}"/>
    <cellStyle name="Comma 10 4 5" xfId="501" xr:uid="{00000000-0005-0000-0000-00002E020000}"/>
    <cellStyle name="Comma 10 4 5 2" xfId="1808" xr:uid="{00000000-0005-0000-0000-00002F020000}"/>
    <cellStyle name="Comma 10 4 6" xfId="502" xr:uid="{00000000-0005-0000-0000-000030020000}"/>
    <cellStyle name="Comma 10 4 6 2" xfId="1809" xr:uid="{00000000-0005-0000-0000-000031020000}"/>
    <cellStyle name="Comma 10 4 7" xfId="503" xr:uid="{00000000-0005-0000-0000-000032020000}"/>
    <cellStyle name="Comma 10 4 7 2" xfId="1810" xr:uid="{00000000-0005-0000-0000-000033020000}"/>
    <cellStyle name="Comma 10 4 8" xfId="504" xr:uid="{00000000-0005-0000-0000-000034020000}"/>
    <cellStyle name="Comma 10 4 8 2" xfId="1811" xr:uid="{00000000-0005-0000-0000-000035020000}"/>
    <cellStyle name="Comma 10 4 9" xfId="505" xr:uid="{00000000-0005-0000-0000-000036020000}"/>
    <cellStyle name="Comma 10 4 9 2" xfId="1812" xr:uid="{00000000-0005-0000-0000-000037020000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1" xfId="508" xr:uid="{00000000-0005-0000-0000-00003B020000}"/>
    <cellStyle name="Comma 10 5 11 2" xfId="1815" xr:uid="{00000000-0005-0000-0000-00003C020000}"/>
    <cellStyle name="Comma 10 5 12" xfId="509" xr:uid="{00000000-0005-0000-0000-00003D020000}"/>
    <cellStyle name="Comma 10 5 12 2" xfId="1816" xr:uid="{00000000-0005-0000-0000-00003E020000}"/>
    <cellStyle name="Comma 10 5 13" xfId="510" xr:uid="{00000000-0005-0000-0000-00003F020000}"/>
    <cellStyle name="Comma 10 5 13 2" xfId="1817" xr:uid="{00000000-0005-0000-0000-000040020000}"/>
    <cellStyle name="Comma 10 5 14" xfId="511" xr:uid="{00000000-0005-0000-0000-000041020000}"/>
    <cellStyle name="Comma 10 5 14 2" xfId="1818" xr:uid="{00000000-0005-0000-0000-000042020000}"/>
    <cellStyle name="Comma 10 5 15" xfId="512" xr:uid="{00000000-0005-0000-0000-000043020000}"/>
    <cellStyle name="Comma 10 5 15 2" xfId="1819" xr:uid="{00000000-0005-0000-0000-000044020000}"/>
    <cellStyle name="Comma 10 5 16" xfId="513" xr:uid="{00000000-0005-0000-0000-000045020000}"/>
    <cellStyle name="Comma 10 5 16 2" xfId="1820" xr:uid="{00000000-0005-0000-0000-000046020000}"/>
    <cellStyle name="Comma 10 5 17" xfId="514" xr:uid="{00000000-0005-0000-0000-000047020000}"/>
    <cellStyle name="Comma 10 5 17 2" xfId="1821" xr:uid="{00000000-0005-0000-0000-000048020000}"/>
    <cellStyle name="Comma 10 5 18" xfId="1813" xr:uid="{00000000-0005-0000-0000-000049020000}"/>
    <cellStyle name="Comma 10 5 2" xfId="515" xr:uid="{00000000-0005-0000-0000-00004A020000}"/>
    <cellStyle name="Comma 10 5 2 2" xfId="1822" xr:uid="{00000000-0005-0000-0000-00004B020000}"/>
    <cellStyle name="Comma 10 5 3" xfId="516" xr:uid="{00000000-0005-0000-0000-00004C020000}"/>
    <cellStyle name="Comma 10 5 3 2" xfId="1823" xr:uid="{00000000-0005-0000-0000-00004D020000}"/>
    <cellStyle name="Comma 10 5 4" xfId="517" xr:uid="{00000000-0005-0000-0000-00004E020000}"/>
    <cellStyle name="Comma 10 5 4 2" xfId="1824" xr:uid="{00000000-0005-0000-0000-00004F020000}"/>
    <cellStyle name="Comma 10 5 5" xfId="518" xr:uid="{00000000-0005-0000-0000-000050020000}"/>
    <cellStyle name="Comma 10 5 5 2" xfId="1825" xr:uid="{00000000-0005-0000-0000-000051020000}"/>
    <cellStyle name="Comma 10 5 6" xfId="519" xr:uid="{00000000-0005-0000-0000-000052020000}"/>
    <cellStyle name="Comma 10 5 6 2" xfId="1826" xr:uid="{00000000-0005-0000-0000-000053020000}"/>
    <cellStyle name="Comma 10 5 7" xfId="520" xr:uid="{00000000-0005-0000-0000-000054020000}"/>
    <cellStyle name="Comma 10 5 7 2" xfId="1827" xr:uid="{00000000-0005-0000-0000-000055020000}"/>
    <cellStyle name="Comma 10 5 8" xfId="521" xr:uid="{00000000-0005-0000-0000-000056020000}"/>
    <cellStyle name="Comma 10 5 8 2" xfId="1828" xr:uid="{00000000-0005-0000-0000-000057020000}"/>
    <cellStyle name="Comma 10 5 9" xfId="522" xr:uid="{00000000-0005-0000-0000-000058020000}"/>
    <cellStyle name="Comma 10 5 9 2" xfId="1829" xr:uid="{00000000-0005-0000-0000-000059020000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1" xfId="525" xr:uid="{00000000-0005-0000-0000-00005D020000}"/>
    <cellStyle name="Comma 10 6 11 2" xfId="1832" xr:uid="{00000000-0005-0000-0000-00005E020000}"/>
    <cellStyle name="Comma 10 6 12" xfId="526" xr:uid="{00000000-0005-0000-0000-00005F020000}"/>
    <cellStyle name="Comma 10 6 12 2" xfId="1833" xr:uid="{00000000-0005-0000-0000-000060020000}"/>
    <cellStyle name="Comma 10 6 13" xfId="527" xr:uid="{00000000-0005-0000-0000-000061020000}"/>
    <cellStyle name="Comma 10 6 13 2" xfId="1834" xr:uid="{00000000-0005-0000-0000-000062020000}"/>
    <cellStyle name="Comma 10 6 14" xfId="528" xr:uid="{00000000-0005-0000-0000-000063020000}"/>
    <cellStyle name="Comma 10 6 14 2" xfId="1835" xr:uid="{00000000-0005-0000-0000-000064020000}"/>
    <cellStyle name="Comma 10 6 15" xfId="529" xr:uid="{00000000-0005-0000-0000-000065020000}"/>
    <cellStyle name="Comma 10 6 15 2" xfId="1836" xr:uid="{00000000-0005-0000-0000-000066020000}"/>
    <cellStyle name="Comma 10 6 16" xfId="530" xr:uid="{00000000-0005-0000-0000-000067020000}"/>
    <cellStyle name="Comma 10 6 16 2" xfId="1837" xr:uid="{00000000-0005-0000-0000-000068020000}"/>
    <cellStyle name="Comma 10 6 17" xfId="531" xr:uid="{00000000-0005-0000-0000-000069020000}"/>
    <cellStyle name="Comma 10 6 17 2" xfId="1838" xr:uid="{00000000-0005-0000-0000-00006A020000}"/>
    <cellStyle name="Comma 10 6 18" xfId="1830" xr:uid="{00000000-0005-0000-0000-00006B020000}"/>
    <cellStyle name="Comma 10 6 2" xfId="532" xr:uid="{00000000-0005-0000-0000-00006C020000}"/>
    <cellStyle name="Comma 10 6 2 2" xfId="1839" xr:uid="{00000000-0005-0000-0000-00006D020000}"/>
    <cellStyle name="Comma 10 6 3" xfId="533" xr:uid="{00000000-0005-0000-0000-00006E020000}"/>
    <cellStyle name="Comma 10 6 3 2" xfId="1840" xr:uid="{00000000-0005-0000-0000-00006F020000}"/>
    <cellStyle name="Comma 10 6 4" xfId="534" xr:uid="{00000000-0005-0000-0000-000070020000}"/>
    <cellStyle name="Comma 10 6 4 2" xfId="1841" xr:uid="{00000000-0005-0000-0000-000071020000}"/>
    <cellStyle name="Comma 10 6 5" xfId="535" xr:uid="{00000000-0005-0000-0000-000072020000}"/>
    <cellStyle name="Comma 10 6 5 2" xfId="1842" xr:uid="{00000000-0005-0000-0000-000073020000}"/>
    <cellStyle name="Comma 10 6 6" xfId="536" xr:uid="{00000000-0005-0000-0000-000074020000}"/>
    <cellStyle name="Comma 10 6 6 2" xfId="1843" xr:uid="{00000000-0005-0000-0000-000075020000}"/>
    <cellStyle name="Comma 10 6 7" xfId="537" xr:uid="{00000000-0005-0000-0000-000076020000}"/>
    <cellStyle name="Comma 10 6 7 2" xfId="1844" xr:uid="{00000000-0005-0000-0000-000077020000}"/>
    <cellStyle name="Comma 10 6 8" xfId="538" xr:uid="{00000000-0005-0000-0000-000078020000}"/>
    <cellStyle name="Comma 10 6 8 2" xfId="1845" xr:uid="{00000000-0005-0000-0000-000079020000}"/>
    <cellStyle name="Comma 10 6 9" xfId="539" xr:uid="{00000000-0005-0000-0000-00007A020000}"/>
    <cellStyle name="Comma 10 6 9 2" xfId="1846" xr:uid="{00000000-0005-0000-0000-00007B020000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1" xfId="542" xr:uid="{00000000-0005-0000-0000-00007F020000}"/>
    <cellStyle name="Comma 10 7 11 2" xfId="1849" xr:uid="{00000000-0005-0000-0000-000080020000}"/>
    <cellStyle name="Comma 10 7 12" xfId="543" xr:uid="{00000000-0005-0000-0000-000081020000}"/>
    <cellStyle name="Comma 10 7 12 2" xfId="1850" xr:uid="{00000000-0005-0000-0000-000082020000}"/>
    <cellStyle name="Comma 10 7 13" xfId="544" xr:uid="{00000000-0005-0000-0000-000083020000}"/>
    <cellStyle name="Comma 10 7 13 2" xfId="1851" xr:uid="{00000000-0005-0000-0000-000084020000}"/>
    <cellStyle name="Comma 10 7 14" xfId="545" xr:uid="{00000000-0005-0000-0000-000085020000}"/>
    <cellStyle name="Comma 10 7 14 2" xfId="1852" xr:uid="{00000000-0005-0000-0000-000086020000}"/>
    <cellStyle name="Comma 10 7 15" xfId="546" xr:uid="{00000000-0005-0000-0000-000087020000}"/>
    <cellStyle name="Comma 10 7 15 2" xfId="1853" xr:uid="{00000000-0005-0000-0000-000088020000}"/>
    <cellStyle name="Comma 10 7 16" xfId="547" xr:uid="{00000000-0005-0000-0000-000089020000}"/>
    <cellStyle name="Comma 10 7 16 2" xfId="1854" xr:uid="{00000000-0005-0000-0000-00008A020000}"/>
    <cellStyle name="Comma 10 7 17" xfId="548" xr:uid="{00000000-0005-0000-0000-00008B020000}"/>
    <cellStyle name="Comma 10 7 17 2" xfId="1855" xr:uid="{00000000-0005-0000-0000-00008C020000}"/>
    <cellStyle name="Comma 10 7 18" xfId="1847" xr:uid="{00000000-0005-0000-0000-00008D020000}"/>
    <cellStyle name="Comma 10 7 2" xfId="549" xr:uid="{00000000-0005-0000-0000-00008E020000}"/>
    <cellStyle name="Comma 10 7 2 2" xfId="1856" xr:uid="{00000000-0005-0000-0000-00008F020000}"/>
    <cellStyle name="Comma 10 7 3" xfId="550" xr:uid="{00000000-0005-0000-0000-000090020000}"/>
    <cellStyle name="Comma 10 7 3 2" xfId="1857" xr:uid="{00000000-0005-0000-0000-000091020000}"/>
    <cellStyle name="Comma 10 7 4" xfId="551" xr:uid="{00000000-0005-0000-0000-000092020000}"/>
    <cellStyle name="Comma 10 7 4 2" xfId="1858" xr:uid="{00000000-0005-0000-0000-000093020000}"/>
    <cellStyle name="Comma 10 7 5" xfId="552" xr:uid="{00000000-0005-0000-0000-000094020000}"/>
    <cellStyle name="Comma 10 7 5 2" xfId="1859" xr:uid="{00000000-0005-0000-0000-000095020000}"/>
    <cellStyle name="Comma 10 7 6" xfId="553" xr:uid="{00000000-0005-0000-0000-000096020000}"/>
    <cellStyle name="Comma 10 7 6 2" xfId="1860" xr:uid="{00000000-0005-0000-0000-000097020000}"/>
    <cellStyle name="Comma 10 7 7" xfId="554" xr:uid="{00000000-0005-0000-0000-000098020000}"/>
    <cellStyle name="Comma 10 7 7 2" xfId="1861" xr:uid="{00000000-0005-0000-0000-000099020000}"/>
    <cellStyle name="Comma 10 7 8" xfId="555" xr:uid="{00000000-0005-0000-0000-00009A020000}"/>
    <cellStyle name="Comma 10 7 8 2" xfId="1862" xr:uid="{00000000-0005-0000-0000-00009B020000}"/>
    <cellStyle name="Comma 10 7 9" xfId="556" xr:uid="{00000000-0005-0000-0000-00009C020000}"/>
    <cellStyle name="Comma 10 7 9 2" xfId="1863" xr:uid="{00000000-0005-0000-0000-00009D020000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1" xfId="559" xr:uid="{00000000-0005-0000-0000-0000A1020000}"/>
    <cellStyle name="Comma 10 8 11 2" xfId="1866" xr:uid="{00000000-0005-0000-0000-0000A2020000}"/>
    <cellStyle name="Comma 10 8 12" xfId="560" xr:uid="{00000000-0005-0000-0000-0000A3020000}"/>
    <cellStyle name="Comma 10 8 12 2" xfId="1867" xr:uid="{00000000-0005-0000-0000-0000A4020000}"/>
    <cellStyle name="Comma 10 8 13" xfId="561" xr:uid="{00000000-0005-0000-0000-0000A5020000}"/>
    <cellStyle name="Comma 10 8 13 2" xfId="1868" xr:uid="{00000000-0005-0000-0000-0000A6020000}"/>
    <cellStyle name="Comma 10 8 14" xfId="562" xr:uid="{00000000-0005-0000-0000-0000A7020000}"/>
    <cellStyle name="Comma 10 8 14 2" xfId="1869" xr:uid="{00000000-0005-0000-0000-0000A8020000}"/>
    <cellStyle name="Comma 10 8 15" xfId="563" xr:uid="{00000000-0005-0000-0000-0000A9020000}"/>
    <cellStyle name="Comma 10 8 15 2" xfId="1870" xr:uid="{00000000-0005-0000-0000-0000AA020000}"/>
    <cellStyle name="Comma 10 8 16" xfId="564" xr:uid="{00000000-0005-0000-0000-0000AB020000}"/>
    <cellStyle name="Comma 10 8 16 2" xfId="1871" xr:uid="{00000000-0005-0000-0000-0000AC020000}"/>
    <cellStyle name="Comma 10 8 17" xfId="565" xr:uid="{00000000-0005-0000-0000-0000AD020000}"/>
    <cellStyle name="Comma 10 8 17 2" xfId="1872" xr:uid="{00000000-0005-0000-0000-0000AE020000}"/>
    <cellStyle name="Comma 10 8 18" xfId="1864" xr:uid="{00000000-0005-0000-0000-0000AF020000}"/>
    <cellStyle name="Comma 10 8 2" xfId="566" xr:uid="{00000000-0005-0000-0000-0000B0020000}"/>
    <cellStyle name="Comma 10 8 2 2" xfId="1873" xr:uid="{00000000-0005-0000-0000-0000B1020000}"/>
    <cellStyle name="Comma 10 8 3" xfId="567" xr:uid="{00000000-0005-0000-0000-0000B2020000}"/>
    <cellStyle name="Comma 10 8 3 2" xfId="1874" xr:uid="{00000000-0005-0000-0000-0000B3020000}"/>
    <cellStyle name="Comma 10 8 4" xfId="568" xr:uid="{00000000-0005-0000-0000-0000B4020000}"/>
    <cellStyle name="Comma 10 8 4 2" xfId="1875" xr:uid="{00000000-0005-0000-0000-0000B5020000}"/>
    <cellStyle name="Comma 10 8 5" xfId="569" xr:uid="{00000000-0005-0000-0000-0000B6020000}"/>
    <cellStyle name="Comma 10 8 5 2" xfId="1876" xr:uid="{00000000-0005-0000-0000-0000B7020000}"/>
    <cellStyle name="Comma 10 8 6" xfId="570" xr:uid="{00000000-0005-0000-0000-0000B8020000}"/>
    <cellStyle name="Comma 10 8 6 2" xfId="1877" xr:uid="{00000000-0005-0000-0000-0000B9020000}"/>
    <cellStyle name="Comma 10 8 7" xfId="571" xr:uid="{00000000-0005-0000-0000-0000BA020000}"/>
    <cellStyle name="Comma 10 8 7 2" xfId="1878" xr:uid="{00000000-0005-0000-0000-0000BB020000}"/>
    <cellStyle name="Comma 10 8 8" xfId="572" xr:uid="{00000000-0005-0000-0000-0000BC020000}"/>
    <cellStyle name="Comma 10 8 8 2" xfId="1879" xr:uid="{00000000-0005-0000-0000-0000BD020000}"/>
    <cellStyle name="Comma 10 8 9" xfId="573" xr:uid="{00000000-0005-0000-0000-0000BE020000}"/>
    <cellStyle name="Comma 10 8 9 2" xfId="1880" xr:uid="{00000000-0005-0000-0000-0000BF020000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2" xfId="591" xr:uid="{00000000-0005-0000-0000-0000E1020000}"/>
    <cellStyle name="Comma 3 2 2" xfId="1898" xr:uid="{00000000-0005-0000-0000-0000E2020000}"/>
    <cellStyle name="Comma 3 3" xfId="592" xr:uid="{00000000-0005-0000-0000-0000E3020000}"/>
    <cellStyle name="Comma 3 3 2" xfId="1899" xr:uid="{00000000-0005-0000-0000-0000E4020000}"/>
    <cellStyle name="Comma 3 4" xfId="593" xr:uid="{00000000-0005-0000-0000-0000E5020000}"/>
    <cellStyle name="Comma 3 4 2" xfId="1900" xr:uid="{00000000-0005-0000-0000-0000E6020000}"/>
    <cellStyle name="Comma 3 5" xfId="594" xr:uid="{00000000-0005-0000-0000-0000E7020000}"/>
    <cellStyle name="Comma 3 5 2" xfId="1901" xr:uid="{00000000-0005-0000-0000-0000E8020000}"/>
    <cellStyle name="Comma 3 6" xfId="595" xr:uid="{00000000-0005-0000-0000-0000E9020000}"/>
    <cellStyle name="Comma 3 6 2" xfId="1902" xr:uid="{00000000-0005-0000-0000-0000EA020000}"/>
    <cellStyle name="Comma 3 7" xfId="596" xr:uid="{00000000-0005-0000-0000-0000EB020000}"/>
    <cellStyle name="Comma 3 7 2" xfId="1903" xr:uid="{00000000-0005-0000-0000-0000EC020000}"/>
    <cellStyle name="Comma 3 8" xfId="597" xr:uid="{00000000-0005-0000-0000-0000ED020000}"/>
    <cellStyle name="Comma 3 8 2" xfId="1904" xr:uid="{00000000-0005-0000-0000-0000EE020000}"/>
    <cellStyle name="Comma 3 9" xfId="1897" xr:uid="{00000000-0005-0000-0000-0000EF020000}"/>
    <cellStyle name="Comma 4" xfId="598" xr:uid="{00000000-0005-0000-0000-0000F0020000}"/>
    <cellStyle name="Comma 4 2" xfId="599" xr:uid="{00000000-0005-0000-0000-0000F1020000}"/>
    <cellStyle name="Comma 4 2 2" xfId="1906" xr:uid="{00000000-0005-0000-0000-0000F2020000}"/>
    <cellStyle name="Comma 4 3" xfId="600" xr:uid="{00000000-0005-0000-0000-0000F3020000}"/>
    <cellStyle name="Comma 4 3 2" xfId="1907" xr:uid="{00000000-0005-0000-0000-0000F4020000}"/>
    <cellStyle name="Comma 4 4" xfId="601" xr:uid="{00000000-0005-0000-0000-0000F5020000}"/>
    <cellStyle name="Comma 4 4 2" xfId="1908" xr:uid="{00000000-0005-0000-0000-0000F6020000}"/>
    <cellStyle name="Comma 4 5" xfId="602" xr:uid="{00000000-0005-0000-0000-0000F7020000}"/>
    <cellStyle name="Comma 4 5 2" xfId="1909" xr:uid="{00000000-0005-0000-0000-0000F8020000}"/>
    <cellStyle name="Comma 4 6" xfId="603" xr:uid="{00000000-0005-0000-0000-0000F9020000}"/>
    <cellStyle name="Comma 4 6 2" xfId="1910" xr:uid="{00000000-0005-0000-0000-0000FA020000}"/>
    <cellStyle name="Comma 4 7" xfId="604" xr:uid="{00000000-0005-0000-0000-0000FB020000}"/>
    <cellStyle name="Comma 4 7 2" xfId="1911" xr:uid="{00000000-0005-0000-0000-0000FC020000}"/>
    <cellStyle name="Comma 4 8" xfId="605" xr:uid="{00000000-0005-0000-0000-0000FD020000}"/>
    <cellStyle name="Comma 4 8 2" xfId="1912" xr:uid="{00000000-0005-0000-0000-0000FE020000}"/>
    <cellStyle name="Comma 4 9" xfId="1905" xr:uid="{00000000-0005-0000-0000-0000FF020000}"/>
    <cellStyle name="Comma 5" xfId="606" xr:uid="{00000000-0005-0000-0000-000000030000}"/>
    <cellStyle name="Comma 5 2" xfId="607" xr:uid="{00000000-0005-0000-0000-000001030000}"/>
    <cellStyle name="Comma 5 2 2" xfId="1914" xr:uid="{00000000-0005-0000-0000-000002030000}"/>
    <cellStyle name="Comma 5 3" xfId="608" xr:uid="{00000000-0005-0000-0000-000003030000}"/>
    <cellStyle name="Comma 5 3 2" xfId="1915" xr:uid="{00000000-0005-0000-0000-000004030000}"/>
    <cellStyle name="Comma 5 4" xfId="609" xr:uid="{00000000-0005-0000-0000-000005030000}"/>
    <cellStyle name="Comma 5 4 2" xfId="1916" xr:uid="{00000000-0005-0000-0000-000006030000}"/>
    <cellStyle name="Comma 5 5" xfId="610" xr:uid="{00000000-0005-0000-0000-000007030000}"/>
    <cellStyle name="Comma 5 5 2" xfId="1917" xr:uid="{00000000-0005-0000-0000-000008030000}"/>
    <cellStyle name="Comma 5 6" xfId="611" xr:uid="{00000000-0005-0000-0000-000009030000}"/>
    <cellStyle name="Comma 5 6 2" xfId="1918" xr:uid="{00000000-0005-0000-0000-00000A030000}"/>
    <cellStyle name="Comma 5 7" xfId="612" xr:uid="{00000000-0005-0000-0000-00000B030000}"/>
    <cellStyle name="Comma 5 7 2" xfId="1919" xr:uid="{00000000-0005-0000-0000-00000C030000}"/>
    <cellStyle name="Comma 5 8" xfId="613" xr:uid="{00000000-0005-0000-0000-00000D030000}"/>
    <cellStyle name="Comma 5 8 2" xfId="1920" xr:uid="{00000000-0005-0000-0000-00000E030000}"/>
    <cellStyle name="Comma 5 9" xfId="1913" xr:uid="{00000000-0005-0000-0000-00000F030000}"/>
    <cellStyle name="Comma 6" xfId="614" xr:uid="{00000000-0005-0000-0000-000010030000}"/>
    <cellStyle name="Comma 6 2" xfId="615" xr:uid="{00000000-0005-0000-0000-000011030000}"/>
    <cellStyle name="Comma 6 2 2" xfId="1922" xr:uid="{00000000-0005-0000-0000-000012030000}"/>
    <cellStyle name="Comma 6 3" xfId="616" xr:uid="{00000000-0005-0000-0000-000013030000}"/>
    <cellStyle name="Comma 6 3 2" xfId="1923" xr:uid="{00000000-0005-0000-0000-000014030000}"/>
    <cellStyle name="Comma 6 4" xfId="617" xr:uid="{00000000-0005-0000-0000-000015030000}"/>
    <cellStyle name="Comma 6 4 2" xfId="1924" xr:uid="{00000000-0005-0000-0000-000016030000}"/>
    <cellStyle name="Comma 6 5" xfId="618" xr:uid="{00000000-0005-0000-0000-000017030000}"/>
    <cellStyle name="Comma 6 5 2" xfId="1925" xr:uid="{00000000-0005-0000-0000-000018030000}"/>
    <cellStyle name="Comma 6 6" xfId="619" xr:uid="{00000000-0005-0000-0000-000019030000}"/>
    <cellStyle name="Comma 6 6 2" xfId="1926" xr:uid="{00000000-0005-0000-0000-00001A030000}"/>
    <cellStyle name="Comma 6 7" xfId="620" xr:uid="{00000000-0005-0000-0000-00001B030000}"/>
    <cellStyle name="Comma 6 7 2" xfId="1927" xr:uid="{00000000-0005-0000-0000-00001C030000}"/>
    <cellStyle name="Comma 6 8" xfId="621" xr:uid="{00000000-0005-0000-0000-00001D030000}"/>
    <cellStyle name="Comma 6 8 2" xfId="1928" xr:uid="{00000000-0005-0000-0000-00001E030000}"/>
    <cellStyle name="Comma 6 9" xfId="1921" xr:uid="{00000000-0005-0000-0000-00001F030000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1" xfId="624" xr:uid="{00000000-0005-0000-0000-000023030000}"/>
    <cellStyle name="Comma 7 11 2" xfId="1930" xr:uid="{00000000-0005-0000-0000-000024030000}"/>
    <cellStyle name="Comma 7 12" xfId="625" xr:uid="{00000000-0005-0000-0000-000025030000}"/>
    <cellStyle name="Comma 7 12 2" xfId="1931" xr:uid="{00000000-0005-0000-0000-000026030000}"/>
    <cellStyle name="Comma 7 13" xfId="626" xr:uid="{00000000-0005-0000-0000-000027030000}"/>
    <cellStyle name="Comma 7 13 2" xfId="1932" xr:uid="{00000000-0005-0000-0000-000028030000}"/>
    <cellStyle name="Comma 7 14" xfId="627" xr:uid="{00000000-0005-0000-0000-000029030000}"/>
    <cellStyle name="Comma 7 14 2" xfId="1933" xr:uid="{00000000-0005-0000-0000-00002A030000}"/>
    <cellStyle name="Comma 7 15" xfId="628" xr:uid="{00000000-0005-0000-0000-00002B030000}"/>
    <cellStyle name="Comma 7 15 2" xfId="1934" xr:uid="{00000000-0005-0000-0000-00002C030000}"/>
    <cellStyle name="Comma 7 16" xfId="629" xr:uid="{00000000-0005-0000-0000-00002D030000}"/>
    <cellStyle name="Comma 7 16 2" xfId="1935" xr:uid="{00000000-0005-0000-0000-00002E030000}"/>
    <cellStyle name="Comma 7 17" xfId="630" xr:uid="{00000000-0005-0000-0000-00002F030000}"/>
    <cellStyle name="Comma 7 17 2" xfId="1936" xr:uid="{00000000-0005-0000-0000-000030030000}"/>
    <cellStyle name="Comma 7 18" xfId="631" xr:uid="{00000000-0005-0000-0000-000031030000}"/>
    <cellStyle name="Comma 7 18 2" xfId="1937" xr:uid="{00000000-0005-0000-0000-000032030000}"/>
    <cellStyle name="Comma 7 19" xfId="632" xr:uid="{00000000-0005-0000-0000-000033030000}"/>
    <cellStyle name="Comma 7 19 2" xfId="1938" xr:uid="{00000000-0005-0000-0000-000034030000}"/>
    <cellStyle name="Comma 7 2" xfId="633" xr:uid="{00000000-0005-0000-0000-000035030000}"/>
    <cellStyle name="Comma 7 2 2" xfId="1939" xr:uid="{00000000-0005-0000-0000-000036030000}"/>
    <cellStyle name="Comma 7 20" xfId="634" xr:uid="{00000000-0005-0000-0000-000037030000}"/>
    <cellStyle name="Comma 7 20 2" xfId="1940" xr:uid="{00000000-0005-0000-0000-000038030000}"/>
    <cellStyle name="Comma 7 21" xfId="635" xr:uid="{00000000-0005-0000-0000-000039030000}"/>
    <cellStyle name="Comma 7 21 2" xfId="1941" xr:uid="{00000000-0005-0000-0000-00003A030000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1" xfId="638" xr:uid="{00000000-0005-0000-0000-00003E030000}"/>
    <cellStyle name="Comma 7 3 11 2" xfId="1944" xr:uid="{00000000-0005-0000-0000-00003F030000}"/>
    <cellStyle name="Comma 7 3 12" xfId="639" xr:uid="{00000000-0005-0000-0000-000040030000}"/>
    <cellStyle name="Comma 7 3 12 2" xfId="1945" xr:uid="{00000000-0005-0000-0000-000041030000}"/>
    <cellStyle name="Comma 7 3 13" xfId="640" xr:uid="{00000000-0005-0000-0000-000042030000}"/>
    <cellStyle name="Comma 7 3 13 2" xfId="1946" xr:uid="{00000000-0005-0000-0000-000043030000}"/>
    <cellStyle name="Comma 7 3 14" xfId="641" xr:uid="{00000000-0005-0000-0000-000044030000}"/>
    <cellStyle name="Comma 7 3 14 2" xfId="1947" xr:uid="{00000000-0005-0000-0000-000045030000}"/>
    <cellStyle name="Comma 7 3 15" xfId="642" xr:uid="{00000000-0005-0000-0000-000046030000}"/>
    <cellStyle name="Comma 7 3 15 2" xfId="1948" xr:uid="{00000000-0005-0000-0000-000047030000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3" xfId="644" xr:uid="{00000000-0005-0000-0000-00004B030000}"/>
    <cellStyle name="Comma 7 3 3 2" xfId="1950" xr:uid="{00000000-0005-0000-0000-00004C030000}"/>
    <cellStyle name="Comma 7 3 4" xfId="645" xr:uid="{00000000-0005-0000-0000-00004D030000}"/>
    <cellStyle name="Comma 7 3 4 2" xfId="1951" xr:uid="{00000000-0005-0000-0000-00004E030000}"/>
    <cellStyle name="Comma 7 3 5" xfId="646" xr:uid="{00000000-0005-0000-0000-00004F030000}"/>
    <cellStyle name="Comma 7 3 5 2" xfId="1952" xr:uid="{00000000-0005-0000-0000-000050030000}"/>
    <cellStyle name="Comma 7 3 6" xfId="647" xr:uid="{00000000-0005-0000-0000-000051030000}"/>
    <cellStyle name="Comma 7 3 6 2" xfId="1953" xr:uid="{00000000-0005-0000-0000-000052030000}"/>
    <cellStyle name="Comma 7 3 7" xfId="648" xr:uid="{00000000-0005-0000-0000-000053030000}"/>
    <cellStyle name="Comma 7 3 7 2" xfId="1954" xr:uid="{00000000-0005-0000-0000-000054030000}"/>
    <cellStyle name="Comma 7 3 8" xfId="649" xr:uid="{00000000-0005-0000-0000-000055030000}"/>
    <cellStyle name="Comma 7 3 8 2" xfId="1955" xr:uid="{00000000-0005-0000-0000-000056030000}"/>
    <cellStyle name="Comma 7 3 9" xfId="650" xr:uid="{00000000-0005-0000-0000-000057030000}"/>
    <cellStyle name="Comma 7 3 9 2" xfId="1956" xr:uid="{00000000-0005-0000-0000-000058030000}"/>
    <cellStyle name="Comma 7 4" xfId="651" xr:uid="{00000000-0005-0000-0000-000059030000}"/>
    <cellStyle name="Comma 7 4 2" xfId="1957" xr:uid="{00000000-0005-0000-0000-00005A030000}"/>
    <cellStyle name="Comma 7 5" xfId="652" xr:uid="{00000000-0005-0000-0000-00005B030000}"/>
    <cellStyle name="Comma 7 5 2" xfId="1958" xr:uid="{00000000-0005-0000-0000-00005C030000}"/>
    <cellStyle name="Comma 7 6" xfId="653" xr:uid="{00000000-0005-0000-0000-00005D030000}"/>
    <cellStyle name="Comma 7 6 2" xfId="1959" xr:uid="{00000000-0005-0000-0000-00005E030000}"/>
    <cellStyle name="Comma 7 7" xfId="654" xr:uid="{00000000-0005-0000-0000-00005F030000}"/>
    <cellStyle name="Comma 7 7 2" xfId="1960" xr:uid="{00000000-0005-0000-0000-000060030000}"/>
    <cellStyle name="Comma 7 8" xfId="655" xr:uid="{00000000-0005-0000-0000-000061030000}"/>
    <cellStyle name="Comma 7 8 2" xfId="1961" xr:uid="{00000000-0005-0000-0000-000062030000}"/>
    <cellStyle name="Comma 7 9" xfId="656" xr:uid="{00000000-0005-0000-0000-000063030000}"/>
    <cellStyle name="Comma 7 9 2" xfId="1962" xr:uid="{00000000-0005-0000-0000-000064030000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3" xfId="659" xr:uid="{00000000-0005-0000-0000-000068030000}"/>
    <cellStyle name="Comma 8 3 2" xfId="1964" xr:uid="{00000000-0005-0000-0000-000069030000}"/>
    <cellStyle name="Comma 8 4" xfId="660" xr:uid="{00000000-0005-0000-0000-00006A030000}"/>
    <cellStyle name="Comma 8 4 2" xfId="1965" xr:uid="{00000000-0005-0000-0000-00006B030000}"/>
    <cellStyle name="Comma 8 5" xfId="661" xr:uid="{00000000-0005-0000-0000-00006C030000}"/>
    <cellStyle name="Comma 8 5 2" xfId="1966" xr:uid="{00000000-0005-0000-0000-00006D030000}"/>
    <cellStyle name="Comma 8 6" xfId="662" xr:uid="{00000000-0005-0000-0000-00006E030000}"/>
    <cellStyle name="Comma 8 6 2" xfId="1967" xr:uid="{00000000-0005-0000-0000-00006F030000}"/>
    <cellStyle name="Comma 8 7" xfId="663" xr:uid="{00000000-0005-0000-0000-000070030000}"/>
    <cellStyle name="Comma 8 7 2" xfId="1968" xr:uid="{00000000-0005-0000-0000-000071030000}"/>
    <cellStyle name="Comma 8 8" xfId="664" xr:uid="{00000000-0005-0000-0000-000072030000}"/>
    <cellStyle name="Comma 8 8 2" xfId="1969" xr:uid="{00000000-0005-0000-0000-000073030000}"/>
    <cellStyle name="Comma 9 2" xfId="665" xr:uid="{00000000-0005-0000-0000-000074030000}"/>
    <cellStyle name="Comma 9 2 2" xfId="1970" xr:uid="{00000000-0005-0000-0000-000075030000}"/>
    <cellStyle name="Comma 9 3" xfId="666" xr:uid="{00000000-0005-0000-0000-000076030000}"/>
    <cellStyle name="Comma 9 4" xfId="667" xr:uid="{00000000-0005-0000-0000-000077030000}"/>
    <cellStyle name="Comma 9 5" xfId="668" xr:uid="{00000000-0005-0000-0000-000078030000}"/>
    <cellStyle name="Comma 9 6" xfId="669" xr:uid="{00000000-0005-0000-0000-000079030000}"/>
    <cellStyle name="Comma 9 7" xfId="670" xr:uid="{00000000-0005-0000-0000-00007A030000}"/>
    <cellStyle name="Comma 9 8" xfId="671" xr:uid="{00000000-0005-0000-0000-00007B030000}"/>
    <cellStyle name="Comma 9 9" xfId="672" xr:uid="{00000000-0005-0000-0000-00007C030000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1" xfId="830" xr:uid="{00000000-0005-0000-0000-00003C040000}"/>
    <cellStyle name="Normal 13 11 2" xfId="2005" xr:uid="{00000000-0005-0000-0000-00003D040000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4" xfId="833" xr:uid="{00000000-0005-0000-0000-000041040000}"/>
    <cellStyle name="Normal 13 14 2" xfId="2007" xr:uid="{00000000-0005-0000-0000-000042040000}"/>
    <cellStyle name="Normal 13 15" xfId="834" xr:uid="{00000000-0005-0000-0000-000043040000}"/>
    <cellStyle name="Normal 13 15 2" xfId="2008" xr:uid="{00000000-0005-0000-0000-000044040000}"/>
    <cellStyle name="Normal 13 16" xfId="835" xr:uid="{00000000-0005-0000-0000-000045040000}"/>
    <cellStyle name="Normal 13 16 2" xfId="2009" xr:uid="{00000000-0005-0000-0000-000046040000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3" xfId="841" xr:uid="{00000000-0005-0000-0000-00004D040000}"/>
    <cellStyle name="Normal 13 2 3 2" xfId="2011" xr:uid="{00000000-0005-0000-0000-00004E040000}"/>
    <cellStyle name="Normal 13 2 4" xfId="842" xr:uid="{00000000-0005-0000-0000-00004F040000}"/>
    <cellStyle name="Normal 13 2 4 2" xfId="2012" xr:uid="{00000000-0005-0000-0000-000050040000}"/>
    <cellStyle name="Normal 13 2 5" xfId="843" xr:uid="{00000000-0005-0000-0000-000051040000}"/>
    <cellStyle name="Normal 13 2 5 2" xfId="2013" xr:uid="{00000000-0005-0000-0000-000052040000}"/>
    <cellStyle name="Normal 13 2 6" xfId="844" xr:uid="{00000000-0005-0000-0000-000053040000}"/>
    <cellStyle name="Normal 13 2 6 2" xfId="2014" xr:uid="{00000000-0005-0000-0000-000054040000}"/>
    <cellStyle name="Normal 13 2 7" xfId="845" xr:uid="{00000000-0005-0000-0000-000055040000}"/>
    <cellStyle name="Normal 13 2 7 2" xfId="2015" xr:uid="{00000000-0005-0000-0000-000056040000}"/>
    <cellStyle name="Normal 13 2 8" xfId="846" xr:uid="{00000000-0005-0000-0000-000057040000}"/>
    <cellStyle name="Normal 13 2 8 2" xfId="2016" xr:uid="{00000000-0005-0000-0000-000058040000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1" xfId="875" xr:uid="{00000000-0005-0000-0000-00008A040000}"/>
    <cellStyle name="Normal 14 11 2" xfId="2037" xr:uid="{00000000-0005-0000-0000-00008B040000}"/>
    <cellStyle name="Normal 14 12" xfId="876" xr:uid="{00000000-0005-0000-0000-00008C040000}"/>
    <cellStyle name="Normal 14 12 2" xfId="2038" xr:uid="{00000000-0005-0000-0000-00008D040000}"/>
    <cellStyle name="Normal 14 13" xfId="877" xr:uid="{00000000-0005-0000-0000-00008E040000}"/>
    <cellStyle name="Normal 14 13 2" xfId="2039" xr:uid="{00000000-0005-0000-0000-00008F040000}"/>
    <cellStyle name="Normal 14 14" xfId="878" xr:uid="{00000000-0005-0000-0000-000090040000}"/>
    <cellStyle name="Normal 14 14 2" xfId="2040" xr:uid="{00000000-0005-0000-0000-000091040000}"/>
    <cellStyle name="Normal 14 15" xfId="879" xr:uid="{00000000-0005-0000-0000-000092040000}"/>
    <cellStyle name="Normal 14 15 2" xfId="2041" xr:uid="{00000000-0005-0000-0000-000093040000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5" xfId="889" xr:uid="{00000000-0005-0000-0000-0000A6040000}"/>
    <cellStyle name="Normal 14 5 2" xfId="2051" xr:uid="{00000000-0005-0000-0000-0000A7040000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1" xfId="931" xr:uid="{00000000-0005-0000-0000-0000F8040000}"/>
    <cellStyle name="Normal 2 2 11 2" xfId="2092" xr:uid="{00000000-0005-0000-0000-0000F9040000}"/>
    <cellStyle name="Normal 2 2 12" xfId="932" xr:uid="{00000000-0005-0000-0000-0000FA040000}"/>
    <cellStyle name="Normal 2 2 12 2" xfId="2093" xr:uid="{00000000-0005-0000-0000-0000FB040000}"/>
    <cellStyle name="Normal 2 2 13" xfId="933" xr:uid="{00000000-0005-0000-0000-0000FC040000}"/>
    <cellStyle name="Normal 2 2 13 2" xfId="2094" xr:uid="{00000000-0005-0000-0000-0000FD040000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3" xfId="936" xr:uid="{00000000-0005-0000-0000-000003050000}"/>
    <cellStyle name="Normal 2 2 3 2" xfId="2097" xr:uid="{00000000-0005-0000-0000-000004050000}"/>
    <cellStyle name="Normal 2 2 4" xfId="937" xr:uid="{00000000-0005-0000-0000-000005050000}"/>
    <cellStyle name="Normal 2 2 4 2" xfId="2098" xr:uid="{00000000-0005-0000-0000-000006050000}"/>
    <cellStyle name="Normal 2 2 5" xfId="938" xr:uid="{00000000-0005-0000-0000-000007050000}"/>
    <cellStyle name="Normal 2 2 5 2" xfId="2099" xr:uid="{00000000-0005-0000-0000-000008050000}"/>
    <cellStyle name="Normal 2 2 6" xfId="939" xr:uid="{00000000-0005-0000-0000-000009050000}"/>
    <cellStyle name="Normal 2 2 6 2" xfId="2100" xr:uid="{00000000-0005-0000-0000-00000A050000}"/>
    <cellStyle name="Normal 2 2 7" xfId="940" xr:uid="{00000000-0005-0000-0000-00000B050000}"/>
    <cellStyle name="Normal 2 2 7 2" xfId="2101" xr:uid="{00000000-0005-0000-0000-00000C050000}"/>
    <cellStyle name="Normal 2 2 8" xfId="941" xr:uid="{00000000-0005-0000-0000-00000D050000}"/>
    <cellStyle name="Normal 2 2 8 2" xfId="2102" xr:uid="{00000000-0005-0000-0000-00000E050000}"/>
    <cellStyle name="Normal 2 2 9" xfId="942" xr:uid="{00000000-0005-0000-0000-00000F050000}"/>
    <cellStyle name="Normal 2 2 9 2" xfId="2103" xr:uid="{00000000-0005-0000-0000-000010050000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1" xfId="945" xr:uid="{00000000-0005-0000-0000-000014050000}"/>
    <cellStyle name="Normal 2 3 11 2" xfId="2106" xr:uid="{00000000-0005-0000-0000-000015050000}"/>
    <cellStyle name="Normal 2 3 12" xfId="946" xr:uid="{00000000-0005-0000-0000-000016050000}"/>
    <cellStyle name="Normal 2 3 12 2" xfId="2107" xr:uid="{00000000-0005-0000-0000-000017050000}"/>
    <cellStyle name="Normal 2 3 13" xfId="947" xr:uid="{00000000-0005-0000-0000-000018050000}"/>
    <cellStyle name="Normal 2 3 13 2" xfId="2108" xr:uid="{00000000-0005-0000-0000-000019050000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3" xfId="949" xr:uid="{00000000-0005-0000-0000-00001D050000}"/>
    <cellStyle name="Normal 2 3 3 2" xfId="2110" xr:uid="{00000000-0005-0000-0000-00001E050000}"/>
    <cellStyle name="Normal 2 3 4" xfId="950" xr:uid="{00000000-0005-0000-0000-00001F050000}"/>
    <cellStyle name="Normal 2 3 4 2" xfId="2111" xr:uid="{00000000-0005-0000-0000-000020050000}"/>
    <cellStyle name="Normal 2 3 5" xfId="951" xr:uid="{00000000-0005-0000-0000-000021050000}"/>
    <cellStyle name="Normal 2 3 5 2" xfId="2112" xr:uid="{00000000-0005-0000-0000-000022050000}"/>
    <cellStyle name="Normal 2 3 6" xfId="952" xr:uid="{00000000-0005-0000-0000-000023050000}"/>
    <cellStyle name="Normal 2 3 6 2" xfId="2113" xr:uid="{00000000-0005-0000-0000-000024050000}"/>
    <cellStyle name="Normal 2 3 7" xfId="953" xr:uid="{00000000-0005-0000-0000-000025050000}"/>
    <cellStyle name="Normal 2 3 7 2" xfId="2114" xr:uid="{00000000-0005-0000-0000-000026050000}"/>
    <cellStyle name="Normal 2 3 8" xfId="954" xr:uid="{00000000-0005-0000-0000-000027050000}"/>
    <cellStyle name="Normal 2 3 8 2" xfId="2115" xr:uid="{00000000-0005-0000-0000-000028050000}"/>
    <cellStyle name="Normal 2 3 9" xfId="955" xr:uid="{00000000-0005-0000-0000-000029050000}"/>
    <cellStyle name="Normal 2 3 9 2" xfId="2116" xr:uid="{00000000-0005-0000-0000-00002A050000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1" xfId="958" xr:uid="{00000000-0005-0000-0000-00002E050000}"/>
    <cellStyle name="Normal 2 4 11 2" xfId="2119" xr:uid="{00000000-0005-0000-0000-00002F050000}"/>
    <cellStyle name="Normal 2 4 12" xfId="959" xr:uid="{00000000-0005-0000-0000-000030050000}"/>
    <cellStyle name="Normal 2 4 12 2" xfId="2120" xr:uid="{00000000-0005-0000-0000-000031050000}"/>
    <cellStyle name="Normal 2 4 13" xfId="960" xr:uid="{00000000-0005-0000-0000-000032050000}"/>
    <cellStyle name="Normal 2 4 13 2" xfId="2121" xr:uid="{00000000-0005-0000-0000-000033050000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3" xfId="962" xr:uid="{00000000-0005-0000-0000-000037050000}"/>
    <cellStyle name="Normal 2 4 3 2" xfId="2123" xr:uid="{00000000-0005-0000-0000-000038050000}"/>
    <cellStyle name="Normal 2 4 4" xfId="963" xr:uid="{00000000-0005-0000-0000-000039050000}"/>
    <cellStyle name="Normal 2 4 4 2" xfId="2124" xr:uid="{00000000-0005-0000-0000-00003A050000}"/>
    <cellStyle name="Normal 2 4 5" xfId="964" xr:uid="{00000000-0005-0000-0000-00003B050000}"/>
    <cellStyle name="Normal 2 4 5 2" xfId="2125" xr:uid="{00000000-0005-0000-0000-00003C050000}"/>
    <cellStyle name="Normal 2 4 6" xfId="965" xr:uid="{00000000-0005-0000-0000-00003D050000}"/>
    <cellStyle name="Normal 2 4 6 2" xfId="2126" xr:uid="{00000000-0005-0000-0000-00003E050000}"/>
    <cellStyle name="Normal 2 4 7" xfId="966" xr:uid="{00000000-0005-0000-0000-00003F050000}"/>
    <cellStyle name="Normal 2 4 7 2" xfId="2127" xr:uid="{00000000-0005-0000-0000-000040050000}"/>
    <cellStyle name="Normal 2 4 8" xfId="967" xr:uid="{00000000-0005-0000-0000-000041050000}"/>
    <cellStyle name="Normal 2 4 8 2" xfId="2128" xr:uid="{00000000-0005-0000-0000-000042050000}"/>
    <cellStyle name="Normal 2 4 9" xfId="968" xr:uid="{00000000-0005-0000-0000-000043050000}"/>
    <cellStyle name="Normal 2 4 9 2" xfId="2129" xr:uid="{00000000-0005-0000-0000-000044050000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1" xfId="1025" xr:uid="{00000000-0005-0000-0000-0000B2050000}"/>
    <cellStyle name="Normal 4 2 2 11 2" xfId="2185" xr:uid="{00000000-0005-0000-0000-0000B3050000}"/>
    <cellStyle name="Normal 4 2 2 12" xfId="1026" xr:uid="{00000000-0005-0000-0000-0000B4050000}"/>
    <cellStyle name="Normal 4 2 2 12 2" xfId="2186" xr:uid="{00000000-0005-0000-0000-0000B5050000}"/>
    <cellStyle name="Normal 4 2 2 13" xfId="1027" xr:uid="{00000000-0005-0000-0000-0000B6050000}"/>
    <cellStyle name="Normal 4 2 2 13 2" xfId="2187" xr:uid="{00000000-0005-0000-0000-0000B7050000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4" xfId="1042" xr:uid="{00000000-0005-0000-0000-0000D5050000}"/>
    <cellStyle name="Normal 4 2 2 4 2" xfId="2202" xr:uid="{00000000-0005-0000-0000-0000D6050000}"/>
    <cellStyle name="Normal 4 2 2 5" xfId="1043" xr:uid="{00000000-0005-0000-0000-0000D7050000}"/>
    <cellStyle name="Normal 4 2 2 5 2" xfId="2203" xr:uid="{00000000-0005-0000-0000-0000D8050000}"/>
    <cellStyle name="Normal 4 2 2 6" xfId="1044" xr:uid="{00000000-0005-0000-0000-0000D9050000}"/>
    <cellStyle name="Normal 4 2 2 6 2" xfId="2204" xr:uid="{00000000-0005-0000-0000-0000DA050000}"/>
    <cellStyle name="Normal 4 2 2 7" xfId="1045" xr:uid="{00000000-0005-0000-0000-0000DB050000}"/>
    <cellStyle name="Normal 4 2 2 7 2" xfId="2205" xr:uid="{00000000-0005-0000-0000-0000DC050000}"/>
    <cellStyle name="Normal 4 2 2 8" xfId="1046" xr:uid="{00000000-0005-0000-0000-0000DD050000}"/>
    <cellStyle name="Normal 4 2 2 8 2" xfId="2206" xr:uid="{00000000-0005-0000-0000-0000DE050000}"/>
    <cellStyle name="Normal 4 2 2 9" xfId="1047" xr:uid="{00000000-0005-0000-0000-0000DF050000}"/>
    <cellStyle name="Normal 4 2 2 9 2" xfId="2207" xr:uid="{00000000-0005-0000-0000-0000E0050000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2" xfId="1087" xr:uid="{00000000-0005-0000-0000-000030060000}"/>
    <cellStyle name="Normal 5 2 10" xfId="2247" xr:uid="{00000000-0005-0000-0000-000031060000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1" xfId="1090" xr:uid="{00000000-0005-0000-0000-000035060000}"/>
    <cellStyle name="Normal 5 2 2 11 2" xfId="2250" xr:uid="{00000000-0005-0000-0000-000036060000}"/>
    <cellStyle name="Normal 5 2 2 12" xfId="1091" xr:uid="{00000000-0005-0000-0000-000037060000}"/>
    <cellStyle name="Normal 5 2 2 12 2" xfId="2251" xr:uid="{00000000-0005-0000-0000-000038060000}"/>
    <cellStyle name="Normal 5 2 2 13" xfId="1092" xr:uid="{00000000-0005-0000-0000-000039060000}"/>
    <cellStyle name="Normal 5 2 2 13 2" xfId="2252" xr:uid="{00000000-0005-0000-0000-00003A060000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4" xfId="1107" xr:uid="{00000000-0005-0000-0000-000058060000}"/>
    <cellStyle name="Normal 5 2 2 4 2" xfId="2267" xr:uid="{00000000-0005-0000-0000-000059060000}"/>
    <cellStyle name="Normal 5 2 2 5" xfId="1108" xr:uid="{00000000-0005-0000-0000-00005A060000}"/>
    <cellStyle name="Normal 5 2 2 5 2" xfId="2268" xr:uid="{00000000-0005-0000-0000-00005B060000}"/>
    <cellStyle name="Normal 5 2 2 6" xfId="1109" xr:uid="{00000000-0005-0000-0000-00005C060000}"/>
    <cellStyle name="Normal 5 2 2 6 2" xfId="2269" xr:uid="{00000000-0005-0000-0000-00005D060000}"/>
    <cellStyle name="Normal 5 2 2 7" xfId="1110" xr:uid="{00000000-0005-0000-0000-00005E060000}"/>
    <cellStyle name="Normal 5 2 2 7 2" xfId="2270" xr:uid="{00000000-0005-0000-0000-00005F060000}"/>
    <cellStyle name="Normal 5 2 2 8" xfId="1111" xr:uid="{00000000-0005-0000-0000-000060060000}"/>
    <cellStyle name="Normal 5 2 2 8 2" xfId="2271" xr:uid="{00000000-0005-0000-0000-000061060000}"/>
    <cellStyle name="Normal 5 2 2 9" xfId="1112" xr:uid="{00000000-0005-0000-0000-000062060000}"/>
    <cellStyle name="Normal 5 2 2 9 2" xfId="2272" xr:uid="{00000000-0005-0000-0000-000063060000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1" xfId="1156" xr:uid="{00000000-0005-0000-0000-0000B8060000}"/>
    <cellStyle name="Normal 6 2 2 11 2" xfId="2316" xr:uid="{00000000-0005-0000-0000-0000B9060000}"/>
    <cellStyle name="Normal 6 2 2 12" xfId="1157" xr:uid="{00000000-0005-0000-0000-0000BA060000}"/>
    <cellStyle name="Normal 6 2 2 12 2" xfId="2317" xr:uid="{00000000-0005-0000-0000-0000BB060000}"/>
    <cellStyle name="Normal 6 2 2 13" xfId="1158" xr:uid="{00000000-0005-0000-0000-0000BC060000}"/>
    <cellStyle name="Normal 6 2 2 13 2" xfId="2318" xr:uid="{00000000-0005-0000-0000-0000BD060000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3" xfId="1160" xr:uid="{00000000-0005-0000-0000-0000C1060000}"/>
    <cellStyle name="Normal 6 2 2 3 2" xfId="2320" xr:uid="{00000000-0005-0000-0000-0000C2060000}"/>
    <cellStyle name="Normal 6 2 2 4" xfId="1161" xr:uid="{00000000-0005-0000-0000-0000C3060000}"/>
    <cellStyle name="Normal 6 2 2 4 2" xfId="2321" xr:uid="{00000000-0005-0000-0000-0000C4060000}"/>
    <cellStyle name="Normal 6 2 2 5" xfId="1162" xr:uid="{00000000-0005-0000-0000-0000C5060000}"/>
    <cellStyle name="Normal 6 2 2 5 2" xfId="2322" xr:uid="{00000000-0005-0000-0000-0000C6060000}"/>
    <cellStyle name="Normal 6 2 2 6" xfId="1163" xr:uid="{00000000-0005-0000-0000-0000C7060000}"/>
    <cellStyle name="Normal 6 2 2 6 2" xfId="2323" xr:uid="{00000000-0005-0000-0000-0000C8060000}"/>
    <cellStyle name="Normal 6 2 2 7" xfId="1164" xr:uid="{00000000-0005-0000-0000-0000C9060000}"/>
    <cellStyle name="Normal 6 2 2 7 2" xfId="2324" xr:uid="{00000000-0005-0000-0000-0000CA060000}"/>
    <cellStyle name="Normal 6 2 2 8" xfId="1165" xr:uid="{00000000-0005-0000-0000-0000CB060000}"/>
    <cellStyle name="Normal 6 2 2 8 2" xfId="2325" xr:uid="{00000000-0005-0000-0000-0000CC060000}"/>
    <cellStyle name="Normal 6 2 2 9" xfId="1166" xr:uid="{00000000-0005-0000-0000-0000CD060000}"/>
    <cellStyle name="Normal 6 2 2 9 2" xfId="2326" xr:uid="{00000000-0005-0000-0000-0000CE060000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111321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2578125" defaultRowHeight="12.75"/>
  <sheetData>
    <row r="1" spans="1:1" ht="15">
      <c r="A1" s="17" t="s">
        <v>182</v>
      </c>
    </row>
    <row r="2" spans="1:1" ht="15">
      <c r="A2" s="18" t="s">
        <v>185</v>
      </c>
    </row>
    <row r="3" spans="1:1" ht="15">
      <c r="A3" s="18"/>
    </row>
    <row r="4" spans="1:1" ht="15">
      <c r="A4" s="17" t="s">
        <v>183</v>
      </c>
    </row>
    <row r="5" spans="1:1" ht="15">
      <c r="A5" s="18" t="s">
        <v>186</v>
      </c>
    </row>
    <row r="6" spans="1:1" ht="15">
      <c r="A6" s="18"/>
    </row>
    <row r="7" spans="1:1" ht="15">
      <c r="A7" s="17" t="s">
        <v>184</v>
      </c>
    </row>
    <row r="8" spans="1:1" ht="15">
      <c r="A8" s="1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</sheetPr>
  <dimension ref="A1:J21"/>
  <sheetViews>
    <sheetView workbookViewId="0"/>
  </sheetViews>
  <sheetFormatPr defaultColWidth="9.140625" defaultRowHeight="12.75"/>
  <cols>
    <col min="1" max="1" width="19.140625" bestFit="1" customWidth="1"/>
    <col min="2" max="3" width="9.140625" customWidth="1"/>
    <col min="4" max="4" width="13.7109375" bestFit="1" customWidth="1"/>
    <col min="5" max="5" width="9.140625" customWidth="1"/>
    <col min="6" max="6" width="13.42578125" bestFit="1" customWidth="1"/>
  </cols>
  <sheetData>
    <row r="1" spans="1:10">
      <c r="B1" t="s">
        <v>124</v>
      </c>
      <c r="H1" t="s">
        <v>125</v>
      </c>
      <c r="J1" t="s">
        <v>126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181</v>
      </c>
      <c r="H4" s="3" t="s">
        <v>9</v>
      </c>
      <c r="I4" s="3" t="s">
        <v>10</v>
      </c>
      <c r="J4" s="3" t="s">
        <v>11</v>
      </c>
    </row>
    <row r="5" spans="1:10">
      <c r="A5" s="13" t="s">
        <v>103</v>
      </c>
      <c r="B5" t="s">
        <v>242</v>
      </c>
      <c r="H5" t="s">
        <v>262</v>
      </c>
      <c r="J5" t="s">
        <v>259</v>
      </c>
    </row>
    <row r="6" spans="1:10">
      <c r="B6" t="s">
        <v>243</v>
      </c>
      <c r="H6" t="s">
        <v>263</v>
      </c>
      <c r="J6" t="s">
        <v>260</v>
      </c>
    </row>
    <row r="7" spans="1:10">
      <c r="B7" t="s">
        <v>244</v>
      </c>
      <c r="H7" t="s">
        <v>264</v>
      </c>
      <c r="J7" t="s">
        <v>261</v>
      </c>
    </row>
    <row r="8" spans="1:10">
      <c r="B8" t="s">
        <v>245</v>
      </c>
      <c r="H8" t="s">
        <v>265</v>
      </c>
    </row>
    <row r="9" spans="1:10">
      <c r="B9" t="s">
        <v>246</v>
      </c>
    </row>
    <row r="10" spans="1:10">
      <c r="B10" t="s">
        <v>247</v>
      </c>
    </row>
    <row r="11" spans="1:10">
      <c r="B11" t="s">
        <v>248</v>
      </c>
    </row>
    <row r="12" spans="1:10">
      <c r="B12" t="s">
        <v>249</v>
      </c>
    </row>
    <row r="13" spans="1:10">
      <c r="B13" t="s">
        <v>250</v>
      </c>
    </row>
    <row r="14" spans="1:10">
      <c r="B14" t="s">
        <v>251</v>
      </c>
    </row>
    <row r="15" spans="1:10">
      <c r="B15" t="s">
        <v>252</v>
      </c>
    </row>
    <row r="16" spans="1:10">
      <c r="B16" t="s">
        <v>253</v>
      </c>
    </row>
    <row r="17" spans="2:2">
      <c r="B17" t="s">
        <v>254</v>
      </c>
    </row>
    <row r="18" spans="2:2">
      <c r="B18" t="s">
        <v>255</v>
      </c>
    </row>
    <row r="19" spans="2:2">
      <c r="B19" t="s">
        <v>256</v>
      </c>
    </row>
    <row r="20" spans="2:2">
      <c r="B20" t="s">
        <v>257</v>
      </c>
    </row>
    <row r="21" spans="2:2">
      <c r="B21" t="s">
        <v>258</v>
      </c>
    </row>
  </sheetData>
  <phoneticPr fontId="6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A2" sqref="A2"/>
    </sheetView>
  </sheetViews>
  <sheetFormatPr defaultColWidth="9.140625" defaultRowHeight="12.75"/>
  <cols>
    <col min="2" max="3" width="9.140625" customWidth="1"/>
    <col min="4" max="4" width="16.85546875" bestFit="1" customWidth="1"/>
    <col min="5" max="5" width="9.140625" customWidth="1"/>
    <col min="6" max="6" width="10.7109375" bestFit="1" customWidth="1"/>
    <col min="7" max="7" width="9.42578125" bestFit="1" customWidth="1"/>
    <col min="8" max="9" width="8.42578125" bestFit="1" customWidth="1"/>
    <col min="10" max="10" width="8.85546875" bestFit="1" customWidth="1"/>
    <col min="11" max="11" width="10.425781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5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47</v>
      </c>
    </row>
    <row r="5" spans="1:11">
      <c r="B5" s="9"/>
      <c r="C5" s="9"/>
      <c r="D5" s="9" t="s">
        <v>170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171</v>
      </c>
      <c r="E6">
        <v>0</v>
      </c>
      <c r="F6">
        <v>2</v>
      </c>
      <c r="G6" s="9"/>
      <c r="H6" s="9"/>
    </row>
    <row r="7" spans="1:11">
      <c r="B7" s="9"/>
      <c r="C7" s="9"/>
      <c r="D7" t="s">
        <v>127</v>
      </c>
      <c r="E7">
        <v>0</v>
      </c>
      <c r="F7">
        <v>3</v>
      </c>
      <c r="G7" s="9"/>
      <c r="H7" s="9"/>
    </row>
    <row r="8" spans="1:11">
      <c r="B8" s="9"/>
      <c r="C8" s="9" t="s">
        <v>130</v>
      </c>
      <c r="D8" t="s">
        <v>129</v>
      </c>
      <c r="E8">
        <v>0</v>
      </c>
      <c r="F8">
        <v>3</v>
      </c>
      <c r="G8" s="9"/>
      <c r="H8" s="9" t="s">
        <v>72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5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5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52</v>
      </c>
    </row>
    <row r="21" spans="2:11">
      <c r="D21" t="s">
        <v>32</v>
      </c>
      <c r="F21" t="s">
        <v>33</v>
      </c>
      <c r="J21" t="s">
        <v>96</v>
      </c>
    </row>
    <row r="22" spans="2:11">
      <c r="D22" t="s">
        <v>97</v>
      </c>
      <c r="F22" t="s">
        <v>33</v>
      </c>
      <c r="H22" t="s">
        <v>98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44"/>
  <sheetViews>
    <sheetView topLeftCell="A22" workbookViewId="0">
      <selection activeCell="B44" sqref="B44:I44"/>
    </sheetView>
  </sheetViews>
  <sheetFormatPr defaultColWidth="9.140625" defaultRowHeight="12.75"/>
  <cols>
    <col min="1" max="1" width="9.140625" customWidth="1"/>
    <col min="2" max="2" width="15.28515625" bestFit="1" customWidth="1"/>
    <col min="3" max="3" width="14" bestFit="1" customWidth="1"/>
    <col min="4" max="4" width="52" bestFit="1" customWidth="1"/>
    <col min="5" max="5" width="5.42578125" bestFit="1" customWidth="1"/>
    <col min="6" max="6" width="8" bestFit="1" customWidth="1"/>
    <col min="7" max="7" width="8.85546875" bestFit="1" customWidth="1"/>
    <col min="8" max="8" width="8.42578125" bestFit="1" customWidth="1"/>
    <col min="9" max="9" width="5.85546875" bestFit="1" customWidth="1"/>
    <col min="10" max="10" width="5" bestFit="1" customWidth="1"/>
  </cols>
  <sheetData>
    <row r="2" spans="2:9">
      <c r="B2" s="12" t="s">
        <v>39</v>
      </c>
      <c r="C2" s="12"/>
      <c r="D2" s="12"/>
      <c r="E2" s="12"/>
      <c r="F2" s="12"/>
      <c r="G2" s="12"/>
      <c r="H2" s="12"/>
      <c r="I2" s="12"/>
    </row>
    <row r="3" spans="2:9">
      <c r="B3" s="12" t="s">
        <v>40</v>
      </c>
      <c r="C3" s="12" t="s">
        <v>41</v>
      </c>
      <c r="D3" s="12" t="s">
        <v>42</v>
      </c>
      <c r="E3" s="12" t="s">
        <v>43</v>
      </c>
      <c r="F3" s="12" t="s">
        <v>15</v>
      </c>
      <c r="G3" s="12" t="s">
        <v>44</v>
      </c>
      <c r="H3" s="12" t="s">
        <v>45</v>
      </c>
      <c r="I3" s="12" t="s">
        <v>46</v>
      </c>
    </row>
    <row r="4" spans="2:9">
      <c r="B4" s="12" t="s">
        <v>38</v>
      </c>
      <c r="C4" s="12" t="s">
        <v>55</v>
      </c>
      <c r="D4" s="14" t="s">
        <v>74</v>
      </c>
      <c r="E4" s="14" t="s">
        <v>62</v>
      </c>
      <c r="F4" s="12"/>
      <c r="G4" s="12"/>
      <c r="H4" s="12"/>
      <c r="I4" s="12"/>
    </row>
    <row r="5" spans="2:9">
      <c r="B5" s="12"/>
      <c r="C5" s="12" t="s">
        <v>56</v>
      </c>
      <c r="D5" s="14" t="s">
        <v>75</v>
      </c>
      <c r="E5" s="14" t="s">
        <v>62</v>
      </c>
      <c r="F5" s="12"/>
      <c r="G5" s="12"/>
      <c r="H5" s="12"/>
      <c r="I5" s="12"/>
    </row>
    <row r="6" spans="2:9">
      <c r="B6" s="12"/>
      <c r="C6" s="12" t="s">
        <v>59</v>
      </c>
      <c r="D6" s="14" t="s">
        <v>76</v>
      </c>
      <c r="E6" s="14" t="s">
        <v>62</v>
      </c>
      <c r="F6" s="12"/>
      <c r="G6" s="12"/>
      <c r="H6" s="12"/>
      <c r="I6" s="12"/>
    </row>
    <row r="7" spans="2:9">
      <c r="B7" s="12"/>
      <c r="C7" s="12" t="s">
        <v>57</v>
      </c>
      <c r="D7" s="14" t="s">
        <v>77</v>
      </c>
      <c r="E7" s="14" t="s">
        <v>62</v>
      </c>
      <c r="F7" s="12"/>
      <c r="G7" s="12" t="s">
        <v>33</v>
      </c>
      <c r="H7" s="12"/>
    </row>
    <row r="8" spans="2:9">
      <c r="B8" s="12"/>
      <c r="C8" s="12" t="s">
        <v>58</v>
      </c>
      <c r="D8" s="14" t="s">
        <v>78</v>
      </c>
      <c r="E8" s="14" t="s">
        <v>62</v>
      </c>
      <c r="F8" s="12"/>
      <c r="G8" s="12"/>
      <c r="H8" s="12"/>
    </row>
    <row r="9" spans="2:9">
      <c r="B9" s="12"/>
      <c r="C9" s="12" t="s">
        <v>117</v>
      </c>
      <c r="D9" s="14" t="s">
        <v>118</v>
      </c>
      <c r="E9" s="14" t="s">
        <v>62</v>
      </c>
      <c r="F9" s="12"/>
      <c r="G9" s="12"/>
      <c r="H9" s="12"/>
    </row>
    <row r="10" spans="2:9">
      <c r="B10" s="12"/>
      <c r="C10" t="s">
        <v>172</v>
      </c>
      <c r="D10" s="14" t="s">
        <v>174</v>
      </c>
      <c r="E10" s="14" t="s">
        <v>62</v>
      </c>
      <c r="F10" s="12"/>
      <c r="G10" s="12"/>
      <c r="H10" s="12"/>
    </row>
    <row r="11" spans="2:9">
      <c r="B11" s="12"/>
      <c r="C11" t="s">
        <v>70</v>
      </c>
      <c r="D11" s="14" t="s">
        <v>81</v>
      </c>
      <c r="E11" s="14" t="s">
        <v>62</v>
      </c>
      <c r="F11" s="12"/>
      <c r="G11" s="12"/>
      <c r="H11" s="12"/>
    </row>
    <row r="12" spans="2:9">
      <c r="B12" s="12"/>
      <c r="C12" t="s">
        <v>177</v>
      </c>
      <c r="D12" s="14" t="s">
        <v>178</v>
      </c>
      <c r="E12" s="14" t="s">
        <v>62</v>
      </c>
      <c r="F12" s="12"/>
      <c r="G12" s="12"/>
      <c r="H12" s="12"/>
    </row>
    <row r="13" spans="2:9">
      <c r="B13" s="12"/>
      <c r="C13" s="12" t="s">
        <v>63</v>
      </c>
      <c r="D13" s="15" t="s">
        <v>82</v>
      </c>
      <c r="E13" s="14" t="s">
        <v>62</v>
      </c>
      <c r="F13" s="12"/>
      <c r="G13" s="12"/>
      <c r="H13" s="12"/>
    </row>
    <row r="14" spans="2:9">
      <c r="B14" s="12"/>
      <c r="C14" t="s">
        <v>158</v>
      </c>
      <c r="D14" s="14" t="s">
        <v>159</v>
      </c>
      <c r="E14" s="14" t="s">
        <v>62</v>
      </c>
      <c r="F14" s="12"/>
      <c r="G14" s="12"/>
      <c r="H14" s="12"/>
    </row>
    <row r="15" spans="2:9">
      <c r="B15" s="12"/>
      <c r="C15" t="s">
        <v>64</v>
      </c>
      <c r="D15" s="14" t="s">
        <v>81</v>
      </c>
      <c r="E15" s="14" t="s">
        <v>62</v>
      </c>
      <c r="F15" s="12"/>
      <c r="G15" s="12"/>
      <c r="H15" s="12"/>
    </row>
    <row r="16" spans="2:9">
      <c r="B16" s="12"/>
      <c r="C16" t="s">
        <v>66</v>
      </c>
      <c r="D16" s="14" t="s">
        <v>83</v>
      </c>
      <c r="E16" s="14" t="s">
        <v>62</v>
      </c>
      <c r="G16" t="s">
        <v>33</v>
      </c>
    </row>
    <row r="17" spans="2:9">
      <c r="C17" t="s">
        <v>71</v>
      </c>
      <c r="D17" s="14" t="s">
        <v>84</v>
      </c>
      <c r="E17" s="14" t="s">
        <v>62</v>
      </c>
    </row>
    <row r="18" spans="2:9">
      <c r="C18" t="s">
        <v>69</v>
      </c>
      <c r="D18" s="14" t="s">
        <v>85</v>
      </c>
      <c r="E18" s="14" t="s">
        <v>62</v>
      </c>
    </row>
    <row r="19" spans="2:9">
      <c r="C19" t="s">
        <v>61</v>
      </c>
      <c r="D19" s="14" t="s">
        <v>80</v>
      </c>
      <c r="E19" s="14" t="s">
        <v>62</v>
      </c>
    </row>
    <row r="20" spans="2:9">
      <c r="C20" t="s">
        <v>65</v>
      </c>
      <c r="D20" s="14" t="s">
        <v>86</v>
      </c>
      <c r="E20" s="14" t="s">
        <v>62</v>
      </c>
    </row>
    <row r="21" spans="2:9">
      <c r="C21" t="s">
        <v>128</v>
      </c>
      <c r="D21" s="14" t="s">
        <v>119</v>
      </c>
      <c r="E21" s="14" t="s">
        <v>62</v>
      </c>
    </row>
    <row r="22" spans="2:9">
      <c r="C22" t="s">
        <v>173</v>
      </c>
      <c r="D22" s="14" t="s">
        <v>175</v>
      </c>
      <c r="E22" s="14" t="s">
        <v>62</v>
      </c>
    </row>
    <row r="23" spans="2:9">
      <c r="C23" t="s">
        <v>60</v>
      </c>
      <c r="D23" s="14" t="s">
        <v>79</v>
      </c>
      <c r="E23" s="14" t="s">
        <v>62</v>
      </c>
    </row>
    <row r="24" spans="2:9">
      <c r="C24" t="s">
        <v>72</v>
      </c>
      <c r="D24" s="14" t="s">
        <v>87</v>
      </c>
      <c r="E24" s="14" t="s">
        <v>62</v>
      </c>
    </row>
    <row r="25" spans="2:9">
      <c r="C25" t="s">
        <v>67</v>
      </c>
      <c r="D25" s="14" t="s">
        <v>88</v>
      </c>
      <c r="E25" s="14" t="s">
        <v>62</v>
      </c>
    </row>
    <row r="26" spans="2:9">
      <c r="C26" s="11" t="s">
        <v>68</v>
      </c>
      <c r="D26" s="14" t="s">
        <v>89</v>
      </c>
      <c r="E26" s="14" t="s">
        <v>62</v>
      </c>
    </row>
    <row r="27" spans="2:9">
      <c r="C27" t="s">
        <v>73</v>
      </c>
      <c r="D27" s="14" t="s">
        <v>90</v>
      </c>
      <c r="E27" s="14" t="s">
        <v>62</v>
      </c>
    </row>
    <row r="28" spans="2:9">
      <c r="C28" s="11" t="s">
        <v>104</v>
      </c>
      <c r="D28" s="14" t="s">
        <v>92</v>
      </c>
      <c r="E28" s="14" t="s">
        <v>62</v>
      </c>
      <c r="G28" t="s">
        <v>93</v>
      </c>
      <c r="H28" t="s">
        <v>111</v>
      </c>
      <c r="I28" t="s">
        <v>104</v>
      </c>
    </row>
    <row r="29" spans="2:9">
      <c r="C29" s="11" t="s">
        <v>94</v>
      </c>
      <c r="D29" s="14" t="s">
        <v>95</v>
      </c>
      <c r="E29" s="14" t="s">
        <v>62</v>
      </c>
      <c r="G29" t="s">
        <v>33</v>
      </c>
    </row>
    <row r="30" spans="2:9">
      <c r="B30" t="s">
        <v>91</v>
      </c>
      <c r="C30" s="11" t="s">
        <v>188</v>
      </c>
      <c r="D30" s="14" t="s">
        <v>120</v>
      </c>
      <c r="E30" s="14" t="s">
        <v>62</v>
      </c>
    </row>
    <row r="31" spans="2:9">
      <c r="C31" s="11" t="s">
        <v>189</v>
      </c>
      <c r="D31" s="14" t="s">
        <v>121</v>
      </c>
      <c r="E31" s="14" t="s">
        <v>62</v>
      </c>
    </row>
    <row r="32" spans="2:9">
      <c r="C32" s="11" t="s">
        <v>190</v>
      </c>
      <c r="D32" s="14" t="s">
        <v>122</v>
      </c>
      <c r="E32" s="14" t="s">
        <v>62</v>
      </c>
    </row>
    <row r="33" spans="2:9">
      <c r="C33" s="11" t="s">
        <v>191</v>
      </c>
      <c r="D33" s="14" t="s">
        <v>123</v>
      </c>
      <c r="E33" s="14" t="s">
        <v>62</v>
      </c>
      <c r="F33" s="11"/>
    </row>
    <row r="34" spans="2:9">
      <c r="C34" s="11" t="s">
        <v>192</v>
      </c>
      <c r="D34" s="14" t="s">
        <v>195</v>
      </c>
      <c r="E34" s="14" t="s">
        <v>62</v>
      </c>
      <c r="F34" s="11"/>
    </row>
    <row r="35" spans="2:9">
      <c r="C35" s="11" t="s">
        <v>193</v>
      </c>
      <c r="D35" s="14" t="s">
        <v>196</v>
      </c>
      <c r="E35" s="14" t="s">
        <v>62</v>
      </c>
      <c r="F35" s="11"/>
    </row>
    <row r="36" spans="2:9">
      <c r="C36" s="11" t="s">
        <v>194</v>
      </c>
      <c r="D36" s="14" t="s">
        <v>197</v>
      </c>
      <c r="E36" s="14" t="s">
        <v>62</v>
      </c>
      <c r="F36" s="11"/>
    </row>
    <row r="37" spans="2:9">
      <c r="B37" t="s">
        <v>99</v>
      </c>
      <c r="C37" s="11" t="s">
        <v>100</v>
      </c>
      <c r="D37" s="14" t="s">
        <v>101</v>
      </c>
      <c r="E37" s="14" t="s">
        <v>102</v>
      </c>
      <c r="F37" s="11"/>
    </row>
    <row r="38" spans="2:9">
      <c r="C38" s="11" t="s">
        <v>107</v>
      </c>
      <c r="D38" s="14" t="s">
        <v>110</v>
      </c>
      <c r="E38" s="14" t="s">
        <v>102</v>
      </c>
      <c r="F38" t="s">
        <v>114</v>
      </c>
    </row>
    <row r="39" spans="2:9">
      <c r="C39" s="11" t="s">
        <v>112</v>
      </c>
      <c r="D39" s="14" t="s">
        <v>113</v>
      </c>
      <c r="E39" s="14" t="s">
        <v>102</v>
      </c>
      <c r="F39" t="s">
        <v>114</v>
      </c>
    </row>
    <row r="40" spans="2:9">
      <c r="C40" s="11" t="s">
        <v>115</v>
      </c>
      <c r="D40" s="14" t="s">
        <v>116</v>
      </c>
      <c r="E40" s="14" t="s">
        <v>102</v>
      </c>
    </row>
    <row r="41" spans="2:9">
      <c r="C41" s="9" t="s">
        <v>108</v>
      </c>
      <c r="D41" s="15" t="s">
        <v>109</v>
      </c>
      <c r="E41" s="15" t="s">
        <v>102</v>
      </c>
    </row>
    <row r="42" spans="2:9">
      <c r="B42" t="s">
        <v>38</v>
      </c>
      <c r="C42" t="s">
        <v>105</v>
      </c>
      <c r="D42" t="s">
        <v>106</v>
      </c>
      <c r="E42" t="s">
        <v>62</v>
      </c>
    </row>
    <row r="43" spans="2:9">
      <c r="B43" t="s">
        <v>99</v>
      </c>
      <c r="C43" t="s">
        <v>160</v>
      </c>
      <c r="D43" t="s">
        <v>161</v>
      </c>
      <c r="E43" t="s">
        <v>62</v>
      </c>
    </row>
    <row r="44" spans="2:9">
      <c r="B44" t="s">
        <v>38</v>
      </c>
      <c r="C44" t="s">
        <v>199</v>
      </c>
      <c r="D44" t="s">
        <v>200</v>
      </c>
      <c r="E44" t="s">
        <v>62</v>
      </c>
      <c r="G44" t="s">
        <v>93</v>
      </c>
      <c r="I44" t="s">
        <v>104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46" sqref="B46"/>
    </sheetView>
  </sheetViews>
  <sheetFormatPr defaultColWidth="8.85546875" defaultRowHeight="12.75"/>
  <cols>
    <col min="6" max="6" width="14.5703125" bestFit="1" customWidth="1"/>
    <col min="7" max="7" width="10.7109375" bestFit="1" customWidth="1"/>
    <col min="8" max="8" width="8.42578125" bestFit="1" customWidth="1"/>
  </cols>
  <sheetData>
    <row r="2" spans="2:8">
      <c r="B2" t="s">
        <v>29</v>
      </c>
    </row>
    <row r="3" spans="2:8">
      <c r="B3" t="s">
        <v>30</v>
      </c>
    </row>
    <row r="4" spans="2:8">
      <c r="B4" t="s">
        <v>50</v>
      </c>
      <c r="F4" t="s">
        <v>201</v>
      </c>
    </row>
    <row r="5" spans="2:8">
      <c r="B5" t="s">
        <v>37</v>
      </c>
      <c r="F5" t="s">
        <v>202</v>
      </c>
      <c r="G5" t="s">
        <v>203</v>
      </c>
      <c r="H5" t="s">
        <v>204</v>
      </c>
    </row>
    <row r="6" spans="2:8">
      <c r="B6" t="s">
        <v>131</v>
      </c>
      <c r="F6" t="s">
        <v>205</v>
      </c>
      <c r="G6" t="s">
        <v>206</v>
      </c>
      <c r="H6">
        <v>1055.55</v>
      </c>
    </row>
    <row r="7" spans="2:8">
      <c r="B7" t="s">
        <v>132</v>
      </c>
      <c r="F7" t="s">
        <v>207</v>
      </c>
      <c r="G7" t="s">
        <v>206</v>
      </c>
      <c r="H7">
        <v>3.6</v>
      </c>
    </row>
    <row r="8" spans="2:8">
      <c r="B8" t="s">
        <v>133</v>
      </c>
      <c r="F8" t="s">
        <v>208</v>
      </c>
      <c r="G8" t="s">
        <v>209</v>
      </c>
      <c r="H8">
        <v>1000</v>
      </c>
    </row>
    <row r="9" spans="2:8">
      <c r="B9" t="s">
        <v>134</v>
      </c>
      <c r="F9" t="s">
        <v>210</v>
      </c>
      <c r="G9" t="s">
        <v>206</v>
      </c>
      <c r="H9">
        <v>1.06</v>
      </c>
    </row>
    <row r="10" spans="2:8">
      <c r="B10" t="s">
        <v>135</v>
      </c>
      <c r="F10" t="s">
        <v>211</v>
      </c>
      <c r="G10" t="s">
        <v>206</v>
      </c>
      <c r="H10">
        <v>0.04</v>
      </c>
    </row>
    <row r="11" spans="2:8">
      <c r="B11" t="s">
        <v>136</v>
      </c>
      <c r="F11" t="s">
        <v>212</v>
      </c>
      <c r="G11" t="s">
        <v>206</v>
      </c>
      <c r="H11">
        <v>41.87</v>
      </c>
    </row>
    <row r="12" spans="2:8">
      <c r="B12" t="s">
        <v>137</v>
      </c>
      <c r="F12" t="s">
        <v>213</v>
      </c>
      <c r="G12" t="s">
        <v>206</v>
      </c>
      <c r="H12">
        <v>3.5999999999999999E-3</v>
      </c>
    </row>
    <row r="13" spans="2:8">
      <c r="B13" t="s">
        <v>138</v>
      </c>
      <c r="F13" t="s">
        <v>214</v>
      </c>
      <c r="G13" t="s">
        <v>209</v>
      </c>
      <c r="H13">
        <v>1000000</v>
      </c>
    </row>
    <row r="14" spans="2:8">
      <c r="B14" t="s">
        <v>139</v>
      </c>
      <c r="F14" t="s">
        <v>220</v>
      </c>
      <c r="G14" t="s">
        <v>221</v>
      </c>
      <c r="H14">
        <v>1000</v>
      </c>
    </row>
    <row r="15" spans="2:8">
      <c r="B15" t="s">
        <v>140</v>
      </c>
      <c r="F15" t="s">
        <v>222</v>
      </c>
      <c r="G15" t="s">
        <v>223</v>
      </c>
      <c r="H15">
        <v>0.15</v>
      </c>
    </row>
    <row r="16" spans="2:8">
      <c r="B16" t="s">
        <v>141</v>
      </c>
      <c r="F16" t="s">
        <v>224</v>
      </c>
      <c r="G16" t="s">
        <v>225</v>
      </c>
      <c r="H16">
        <v>0</v>
      </c>
    </row>
    <row r="17" spans="2:8">
      <c r="B17" t="s">
        <v>142</v>
      </c>
      <c r="F17" t="s">
        <v>215</v>
      </c>
      <c r="G17" t="s">
        <v>206</v>
      </c>
      <c r="H17">
        <v>1000</v>
      </c>
    </row>
    <row r="18" spans="2:8">
      <c r="B18" t="s">
        <v>143</v>
      </c>
      <c r="F18" t="s">
        <v>216</v>
      </c>
      <c r="G18" t="s">
        <v>206</v>
      </c>
      <c r="H18">
        <v>37.68</v>
      </c>
    </row>
    <row r="19" spans="2:8">
      <c r="B19" t="s">
        <v>144</v>
      </c>
      <c r="F19" t="s">
        <v>217</v>
      </c>
      <c r="G19" t="s">
        <v>206</v>
      </c>
      <c r="H19">
        <v>2299</v>
      </c>
    </row>
    <row r="20" spans="2:8">
      <c r="B20" t="s">
        <v>145</v>
      </c>
      <c r="F20" t="s">
        <v>218</v>
      </c>
      <c r="G20" t="s">
        <v>223</v>
      </c>
      <c r="H20">
        <v>2.78</v>
      </c>
    </row>
    <row r="21" spans="2:8">
      <c r="B21" t="s">
        <v>146</v>
      </c>
      <c r="F21" t="s">
        <v>219</v>
      </c>
      <c r="G21" t="s">
        <v>206</v>
      </c>
      <c r="H21">
        <v>3.6</v>
      </c>
    </row>
    <row r="22" spans="2:8">
      <c r="B22" t="s">
        <v>147</v>
      </c>
      <c r="F22" t="s">
        <v>206</v>
      </c>
      <c r="G22" t="s">
        <v>206</v>
      </c>
      <c r="H22">
        <v>1</v>
      </c>
    </row>
    <row r="23" spans="2:8">
      <c r="B23" t="s">
        <v>31</v>
      </c>
    </row>
    <row r="24" spans="2:8">
      <c r="B24" t="s">
        <v>148</v>
      </c>
    </row>
    <row r="25" spans="2:8">
      <c r="B25" t="s">
        <v>149</v>
      </c>
    </row>
    <row r="26" spans="2:8">
      <c r="B26" t="s">
        <v>150</v>
      </c>
    </row>
    <row r="27" spans="2:8">
      <c r="B27" t="s">
        <v>53</v>
      </c>
    </row>
    <row r="28" spans="2:8">
      <c r="B28" t="s">
        <v>48</v>
      </c>
    </row>
    <row r="29" spans="2:8">
      <c r="B29" t="s">
        <v>151</v>
      </c>
    </row>
    <row r="30" spans="2:8">
      <c r="B30" t="s">
        <v>152</v>
      </c>
    </row>
    <row r="31" spans="2:8">
      <c r="B31" t="s">
        <v>153</v>
      </c>
    </row>
    <row r="32" spans="2:8">
      <c r="B32" t="s">
        <v>36</v>
      </c>
    </row>
    <row r="33" spans="2:2">
      <c r="B33" t="s">
        <v>154</v>
      </c>
    </row>
    <row r="34" spans="2:2">
      <c r="B34" t="s">
        <v>54</v>
      </c>
    </row>
    <row r="35" spans="2:2">
      <c r="B35" t="s">
        <v>155</v>
      </c>
    </row>
    <row r="36" spans="2:2">
      <c r="B36" t="s">
        <v>156</v>
      </c>
    </row>
    <row r="37" spans="2:2">
      <c r="B37" t="s">
        <v>51</v>
      </c>
    </row>
    <row r="38" spans="2:2">
      <c r="B38" t="s">
        <v>157</v>
      </c>
    </row>
    <row r="39" spans="2:2">
      <c r="B39" t="s">
        <v>179</v>
      </c>
    </row>
    <row r="40" spans="2:2">
      <c r="B40" t="s">
        <v>180</v>
      </c>
    </row>
    <row r="41" spans="2:2">
      <c r="B41" t="s">
        <v>233</v>
      </c>
    </row>
    <row r="42" spans="2:2">
      <c r="B42" t="s">
        <v>234</v>
      </c>
    </row>
    <row r="43" spans="2:2">
      <c r="B43" t="s">
        <v>235</v>
      </c>
    </row>
    <row r="44" spans="2:2">
      <c r="B44" t="s">
        <v>236</v>
      </c>
    </row>
    <row r="45" spans="2:2">
      <c r="B45" t="s">
        <v>237</v>
      </c>
    </row>
    <row r="46" spans="2:2">
      <c r="B46" t="s">
        <v>238</v>
      </c>
    </row>
    <row r="47" spans="2:2">
      <c r="B47" t="s">
        <v>239</v>
      </c>
    </row>
  </sheetData>
  <phoneticPr fontId="5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H24"/>
  <sheetViews>
    <sheetView tabSelected="1" workbookViewId="0">
      <selection activeCell="H22" sqref="H22"/>
    </sheetView>
  </sheetViews>
  <sheetFormatPr defaultColWidth="9.140625" defaultRowHeight="12.75"/>
  <cols>
    <col min="1" max="1" width="9.140625" customWidth="1"/>
    <col min="2" max="2" width="12.42578125" bestFit="1" customWidth="1"/>
    <col min="5" max="5" width="14.85546875" bestFit="1" customWidth="1"/>
    <col min="6" max="6" width="10.5703125" bestFit="1" customWidth="1"/>
    <col min="9" max="9" width="14.85546875" bestFit="1" customWidth="1"/>
    <col min="10" max="10" width="11.5703125" bestFit="1" customWidth="1"/>
  </cols>
  <sheetData>
    <row r="1" spans="2:8" ht="15">
      <c r="F1" s="20" t="s">
        <v>231</v>
      </c>
    </row>
    <row r="2" spans="2:8" ht="15">
      <c r="F2" s="20">
        <v>2017</v>
      </c>
    </row>
    <row r="3" spans="2:8">
      <c r="B3" t="s">
        <v>23</v>
      </c>
      <c r="F3">
        <v>2018</v>
      </c>
    </row>
    <row r="4" spans="2:8">
      <c r="B4">
        <f>MIN($F$2:$F$6)</f>
        <v>2017</v>
      </c>
    </row>
    <row r="7" spans="2:8">
      <c r="B7" t="s">
        <v>24</v>
      </c>
    </row>
    <row r="8" spans="2:8">
      <c r="B8" t="str">
        <f>F12</f>
        <v>msy11_2050</v>
      </c>
    </row>
    <row r="11" spans="2:8">
      <c r="B11" t="s">
        <v>6</v>
      </c>
      <c r="E11" t="s">
        <v>227</v>
      </c>
    </row>
    <row r="12" spans="2:8">
      <c r="B12" s="16" t="s">
        <v>176</v>
      </c>
      <c r="E12" s="19" t="s">
        <v>228</v>
      </c>
      <c r="F12" s="21" t="s">
        <v>240</v>
      </c>
      <c r="G12" s="21" t="s">
        <v>241</v>
      </c>
      <c r="H12" s="21" t="s">
        <v>232</v>
      </c>
    </row>
    <row r="13" spans="2:8">
      <c r="B13" s="10">
        <v>1</v>
      </c>
      <c r="E13" t="s">
        <v>229</v>
      </c>
    </row>
    <row r="14" spans="2:8">
      <c r="B14" s="10">
        <v>1</v>
      </c>
      <c r="E14" t="s">
        <v>230</v>
      </c>
      <c r="F14">
        <f>$B$4</f>
        <v>2017</v>
      </c>
      <c r="G14">
        <f>$B$4</f>
        <v>2017</v>
      </c>
      <c r="H14">
        <f>$B$4</f>
        <v>2017</v>
      </c>
    </row>
    <row r="15" spans="2:8">
      <c r="B15" s="10">
        <v>1</v>
      </c>
      <c r="E15" t="s">
        <v>230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</row>
    <row r="16" spans="2:8">
      <c r="B16" s="10">
        <v>5</v>
      </c>
      <c r="E16" t="s">
        <v>230</v>
      </c>
      <c r="F16">
        <f t="shared" si="0"/>
        <v>2019</v>
      </c>
      <c r="G16">
        <f t="shared" si="0"/>
        <v>2019</v>
      </c>
      <c r="H16">
        <f t="shared" si="0"/>
        <v>2019</v>
      </c>
    </row>
    <row r="17" spans="2:8">
      <c r="B17" s="10">
        <v>5</v>
      </c>
      <c r="E17" t="s">
        <v>230</v>
      </c>
      <c r="F17">
        <f t="shared" si="0"/>
        <v>2020</v>
      </c>
      <c r="G17">
        <f t="shared" si="0"/>
        <v>2020</v>
      </c>
      <c r="H17">
        <f t="shared" si="0"/>
        <v>2020</v>
      </c>
    </row>
    <row r="18" spans="2:8">
      <c r="B18" s="10">
        <v>5</v>
      </c>
      <c r="E18" t="s">
        <v>230</v>
      </c>
      <c r="F18">
        <f t="shared" si="0"/>
        <v>2021</v>
      </c>
      <c r="G18">
        <f t="shared" si="0"/>
        <v>2021</v>
      </c>
      <c r="H18">
        <f t="shared" si="0"/>
        <v>2021</v>
      </c>
    </row>
    <row r="19" spans="2:8">
      <c r="B19" s="10">
        <v>5</v>
      </c>
      <c r="E19" t="s">
        <v>230</v>
      </c>
      <c r="F19">
        <f>F17+5</f>
        <v>2025</v>
      </c>
      <c r="G19">
        <f>G17+5</f>
        <v>2025</v>
      </c>
      <c r="H19">
        <v>2030</v>
      </c>
    </row>
    <row r="20" spans="2:8">
      <c r="B20" s="10">
        <v>5</v>
      </c>
      <c r="E20" t="s">
        <v>230</v>
      </c>
      <c r="F20">
        <f>F19+5</f>
        <v>2030</v>
      </c>
      <c r="G20">
        <f>G19+5</f>
        <v>2030</v>
      </c>
      <c r="H20">
        <v>2040</v>
      </c>
    </row>
    <row r="21" spans="2:8">
      <c r="B21" s="10">
        <v>5</v>
      </c>
      <c r="E21" t="s">
        <v>230</v>
      </c>
      <c r="F21">
        <f>F20+5</f>
        <v>2035</v>
      </c>
      <c r="G21">
        <v>2040</v>
      </c>
      <c r="H21">
        <v>2050</v>
      </c>
    </row>
    <row r="22" spans="2:8">
      <c r="B22" s="10">
        <v>5</v>
      </c>
      <c r="E22" t="s">
        <v>230</v>
      </c>
      <c r="F22">
        <f>F21+5</f>
        <v>2040</v>
      </c>
      <c r="G22">
        <v>2050</v>
      </c>
    </row>
    <row r="23" spans="2:8">
      <c r="E23" t="s">
        <v>230</v>
      </c>
      <c r="F23">
        <f>F22+5</f>
        <v>2045</v>
      </c>
    </row>
    <row r="24" spans="2:8">
      <c r="E24" t="s">
        <v>230</v>
      </c>
      <c r="F24">
        <f>F23+5</f>
        <v>2050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/>
  </sheetViews>
  <sheetFormatPr defaultColWidth="9.140625" defaultRowHeight="12.75"/>
  <cols>
    <col min="1" max="1" width="9.140625" customWidth="1"/>
    <col min="2" max="2" width="15.28515625" bestFit="1" customWidth="1"/>
    <col min="3" max="3" width="11.140625" bestFit="1" customWidth="1"/>
    <col min="4" max="4" width="8.42578125" bestFit="1" customWidth="1"/>
    <col min="5" max="5" width="9.85546875" bestFit="1" customWidth="1"/>
    <col min="6" max="6" width="8.42578125" bestFit="1" customWidth="1"/>
    <col min="7" max="7" width="10.7109375" bestFit="1" customWidth="1"/>
    <col min="8" max="8" width="4.85546875" bestFit="1" customWidth="1"/>
    <col min="9" max="10" width="5" bestFit="1" customWidth="1"/>
  </cols>
  <sheetData>
    <row r="3" spans="2:7">
      <c r="B3" t="s">
        <v>25</v>
      </c>
    </row>
    <row r="4" spans="2:7">
      <c r="B4" s="5" t="s">
        <v>26</v>
      </c>
      <c r="C4" s="5" t="s">
        <v>27</v>
      </c>
      <c r="D4" s="5" t="s">
        <v>18</v>
      </c>
      <c r="E4" s="5" t="s">
        <v>49</v>
      </c>
      <c r="F4" s="5" t="s">
        <v>28</v>
      </c>
      <c r="G4" s="5" t="s">
        <v>13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E11" sqref="E11"/>
    </sheetView>
  </sheetViews>
  <sheetFormatPr defaultColWidth="8.85546875" defaultRowHeight="12.75"/>
  <cols>
    <col min="2" max="2" width="8.42578125" bestFit="1" customWidth="1"/>
    <col min="3" max="3" width="9.85546875" bestFit="1" customWidth="1"/>
    <col min="4" max="4" width="19.7109375" bestFit="1" customWidth="1"/>
    <col min="5" max="5" width="9.85546875" bestFit="1" customWidth="1"/>
  </cols>
  <sheetData>
    <row r="3" spans="3:5">
      <c r="C3" t="s">
        <v>12</v>
      </c>
    </row>
    <row r="4" spans="3:5">
      <c r="C4" t="s">
        <v>16</v>
      </c>
      <c r="D4" t="s">
        <v>162</v>
      </c>
      <c r="E4" t="s">
        <v>13</v>
      </c>
    </row>
    <row r="5" spans="3:5">
      <c r="C5" t="s">
        <v>163</v>
      </c>
      <c r="D5" t="s">
        <v>164</v>
      </c>
    </row>
    <row r="6" spans="3:5">
      <c r="C6" t="s">
        <v>163</v>
      </c>
      <c r="D6" t="s">
        <v>165</v>
      </c>
      <c r="E6">
        <v>1</v>
      </c>
    </row>
    <row r="7" spans="3:5">
      <c r="C7" t="s">
        <v>163</v>
      </c>
      <c r="D7" t="s">
        <v>166</v>
      </c>
      <c r="E7">
        <v>1</v>
      </c>
    </row>
    <row r="8" spans="3:5">
      <c r="C8" t="s">
        <v>163</v>
      </c>
      <c r="D8" t="s">
        <v>167</v>
      </c>
      <c r="E8">
        <v>0</v>
      </c>
    </row>
    <row r="9" spans="3:5">
      <c r="C9" t="s">
        <v>163</v>
      </c>
      <c r="D9" t="s">
        <v>168</v>
      </c>
      <c r="E9">
        <v>1</v>
      </c>
    </row>
    <row r="10" spans="3:5">
      <c r="C10" t="s">
        <v>163</v>
      </c>
      <c r="D10" t="s">
        <v>169</v>
      </c>
      <c r="E10">
        <v>1</v>
      </c>
    </row>
    <row r="11" spans="3:5">
      <c r="C11" t="s">
        <v>163</v>
      </c>
      <c r="D11" s="9" t="s">
        <v>198</v>
      </c>
      <c r="E11">
        <v>1</v>
      </c>
    </row>
    <row r="12" spans="3:5">
      <c r="C12" t="s">
        <v>163</v>
      </c>
      <c r="D12" t="s">
        <v>226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cp:lastPrinted>2001-09-28T20:39:50Z</cp:lastPrinted>
  <dcterms:created xsi:type="dcterms:W3CDTF">2001-09-28T18:48:17Z</dcterms:created>
  <dcterms:modified xsi:type="dcterms:W3CDTF">2021-10-28T09:31:09Z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