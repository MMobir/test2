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AE43A268-7379-478B-BEB1-96D10B9728E6}" xr6:coauthVersionLast="47" xr6:coauthVersionMax="47" xr10:uidLastSave="{00000000-0000-0000-0000-000000000000}"/>
  <bookViews>
    <workbookView xWindow="-4008" yWindow="-17388" windowWidth="30936" windowHeight="16896" tabRatio="853" activeTab="3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I30" i="20" s="1"/>
  <c r="I26" i="20"/>
  <c r="I27" i="20"/>
  <c r="I28" i="20"/>
  <c r="I25" i="20"/>
  <c r="I14" i="20"/>
  <c r="I15" i="20" s="1"/>
  <c r="I16" i="20" s="1"/>
  <c r="I17" i="20" s="1"/>
  <c r="B4" i="20"/>
  <c r="B8" i="20"/>
  <c r="B19" i="14"/>
  <c r="E4" i="14"/>
  <c r="B3" i="14"/>
  <c r="I19" i="20" l="1"/>
  <c r="I20" i="20" s="1"/>
  <c r="I21" i="20" s="1"/>
  <c r="I22" i="20" s="1"/>
  <c r="I23" i="20" s="1"/>
  <c r="I24" i="20" s="1"/>
  <c r="I18" i="20"/>
  <c r="F14" i="20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<sst xmlns="http://schemas.openxmlformats.org/spreadsheetml/2006/main" count="409" uniqueCount="286">
  <si>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</si>
  <si>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</si>
  <si>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</si>
  <si>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</si>
  <si>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</si>
  <si>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</si>
  <si>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</si>
  <si>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</si>
  <si>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</si>
  <si>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</si>
  <si>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</si>
  <si>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</si>
  <si>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</si>
  <si>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</si>
  <si>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</si>
  <si>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</si>
  <si>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</si>
  <si>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</si>
  <si>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</si>
  <si>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</si>
  <si>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</si>
  <si>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</si>
  <si>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</si>
  <si>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</si>
  <si>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</si>
  <si>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</si>
  <si>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</si>
  <si>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</si>
  <si>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</si>
  <si>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</si>
  <si>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</si>
  <si>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</si>
  <si>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</si>
  <si>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</si>
  <si>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</si>
  <si>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</si>
  <si>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</si>
  <si>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</si>
  <si>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</si>
  <si>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</si>
  <si>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</si>
  <si>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</si>
  <si>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</si>
  <si>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</si>
  <si>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</si>
  <si>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</si>
  <si>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</si>
  <si>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</si>
  <si>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</si>
  <si>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</si>
  <si>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</si>
  <si>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</si>
  <si>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</si>
  <si>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</si>
  <si>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</si>
  <si>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</si>
  <si>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</si>
  <si>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</si>
  <si>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</si>
  <si>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</si>
  <si>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</si>
  <si>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</si>
  <si>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</si>
  <si>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</si>
  <si>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</si>
  <si>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</si>
  <si>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</si>
  <si>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</si>
  <si>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</si>
  <si>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</si>
  <si>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</si>
  <si>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</si>
  <si>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</si>
  <si>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</si>
  <si>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</si>
  <si>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</si>
  <si>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</si>
  <si>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</si>
  <si>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</si>
  <si>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</si>
  <si>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</si>
  <si>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</si>
  <si>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</si>
  <si>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</si>
  <si>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</si>
  <si>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</si>
  <si>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</si>
  <si>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</si>
  <si>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</si>
  <si>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</si>
  <si>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</si>
  <si>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</si>
  <si>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</si>
  <si>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</si>
  <si>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</si>
  <si>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</si>
  <si>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</si>
  <si>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</si>
  <si>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</si>
  <si>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</si>
  <si>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</si>
  <si>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</si>
  <si>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</si>
  <si>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</si>
  <si>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</si>
  <si>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</si>
  <si>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</si>
  <si>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</si>
  <si>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</si>
  <si>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</si>
  <si>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</si>
  <si>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</si>
  <si>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</si>
  <si>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</si>
  <si>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</si>
  <si>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</si>
  <si>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</si>
  <si>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</si>
  <si>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</si>
  <si>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</si>
  <si>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</si>
  <si>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</si>
  <si>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</si>
  <si>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</si>
  <si>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</si>
  <si>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</si>
  <si>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</si>
  <si>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</si>
  <si>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</si>
  <si>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</si>
  <si>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</si>
  <si>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</si>
  <si>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</si>
  <si>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</si>
  <si>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</si>
  <si>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</si>
  <si>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</si>
  <si>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</si>
  <si>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</si>
  <si>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</si>
  <si>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</si>
  <si>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</si>
  <si>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</si>
  <si>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</si>
  <si>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</si>
  <si>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</si>
  <si>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</si>
  <si>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</si>
  <si>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</si>
  <si>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</si>
  <si>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</si>
  <si>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</si>
  <si>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</si>
  <si>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</si>
  <si>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</si>
  <si>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</si>
  <si>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</si>
  <si>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</si>
  <si>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</si>
  <si>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</si>
  <si>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</si>
  <si>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</si>
  <si>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</si>
  <si>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</si>
  <si>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</si>
  <si>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</si>
  <si>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</si>
  <si>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</si>
  <si>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</si>
  <si>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</si>
  <si>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</si>
  <si>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</si>
  <si>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</si>
  <si>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</si>
  <si>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</si>
  <si>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</si>
  <si>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</si>
  <si>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</si>
  <si>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</si>
  <si>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</si>
  <si>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</si>
  <si>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</si>
  <si>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</si>
  <si>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</si>
  <si>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</si>
  <si>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</si>
  <si>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</si>
  <si>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</si>
  <si>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</si>
  <si>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</si>
  <si>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</si>
  <si>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</si>
  <si>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</si>
  <si>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</si>
  <si>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</si>
  <si>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</si>
  <si>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</si>
  <si>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</si>
  <si>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</si>
  <si>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</si>
  <si>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</si>
  <si>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</si>
  <si>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</si>
  <si>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</si>
  <si>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</si>
  <si>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</si>
  <si>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</si>
  <si>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</si>
  <si>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</si>
  <si>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</si>
  <si>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</si>
  <si>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</si>
  <si>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</si>
  <si>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</si>
  <si>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</si>
  <si>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</si>
  <si>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</si>
  <si>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</si>
  <si>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</si>
  <si>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</si>
  <si>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</si>
  <si>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</si>
  <si>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</si>
  <si>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</si>
  <si>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</si>
  <si>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</si>
  <si>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</si>
  <si>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</si>
  <si>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</si>
  <si>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</si>
  <si>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</si>
  <si>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</si>
  <si>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</si>
  <si>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</si>
  <si>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</si>
  <si>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</si>
  <si>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</si>
  <si>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</si>
  <si>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</si>
  <si>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</si>
  <si>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</si>
  <si>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</si>
  <si>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</si>
  <si>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</si>
  <si>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</si>
  <si>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</si>
  <si>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</si>
  <si>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</si>
  <si>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</si>
  <si>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</si>
  <si>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</si>
  <si>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</si>
  <si>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</si>
  <si>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</si>
  <si>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</si>
  <si>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</si>
  <si>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</si>
  <si>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</si>
  <si>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</si>
  <si>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</si>
  <si>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</si>
  <si>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</si>
  <si>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</si>
  <si>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</si>
  <si>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</si>
  <si>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</si>
  <si>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</si>
  <si>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</si>
  <si>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</si>
  <si>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</si>
  <si>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</si>
  <si>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</si>
  <si>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</si>
  <si>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</si>
  <si>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</si>
  <si>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</si>
  <si>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</si>
  <si>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</si>
  <si>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</si>
  <si>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</si>
  <si>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</si>
  <si>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</si>
  <si>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</si>
  <si>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</si>
  <si>
    <t>msy11_2080</t>
  </si>
  <si>
    <t>CO2 Captured from electricity generation and the supply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</si>
</sst>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39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9" fillId="0" borderId="0" applyNumberFormat="0" applyFont="0" applyFill="0" applyBorder="0" applyProtection="0">
      <alignment horizontal="left" vertical="center" indent="5"/>
    </xf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4" fontId="13" fillId="24" borderId="1">
      <alignment horizontal="right" vertical="center"/>
    </xf>
    <xf numFmtId="4" fontId="13" fillId="24" borderId="1">
      <alignment horizontal="right" vertical="center"/>
    </xf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49" fontId="9" fillId="28" borderId="4">
      <alignment vertical="top" wrapText="1"/>
    </xf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5">
      <alignment horizontal="left" vertical="center" wrapText="1" indent="2"/>
    </xf>
    <xf numFmtId="179" fontId="51" fillId="0" borderId="0">
      <protection locked="0"/>
    </xf>
    <xf numFmtId="179" fontId="51" fillId="0" borderId="0">
      <protection locked="0"/>
    </xf>
    <xf numFmtId="3" fontId="35" fillId="0" borderId="4">
      <alignment horizontal="right" vertical="top"/>
    </xf>
    <xf numFmtId="0" fontId="4" fillId="29" borderId="1">
      <alignment horizontal="centerContinuous" vertical="top" wrapText="1"/>
    </xf>
    <xf numFmtId="0" fontId="36" fillId="0" borderId="0">
      <alignment vertical="top" wrapText="1"/>
    </xf>
    <xf numFmtId="169" fontId="12" fillId="0" borderId="0" applyFont="0" applyFill="0" applyBorder="0" applyAlignment="0" applyProtection="0"/>
    <xf numFmtId="173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69" fontId="9" fillId="0" borderId="0" applyFont="0" applyFill="0" applyBorder="0" applyAlignment="0" applyProtection="0"/>
    <xf numFmtId="175" fontId="3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0" fontId="51" fillId="0" borderId="0">
      <protection locked="0"/>
    </xf>
    <xf numFmtId="180" fontId="51" fillId="0" borderId="0">
      <protection locked="0"/>
    </xf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6" fillId="9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9" borderId="2" applyNumberFormat="0" applyAlignment="0" applyProtection="0"/>
    <xf numFmtId="0" fontId="26" fillId="12" borderId="2" applyNumberFormat="0" applyAlignment="0" applyProtection="0"/>
    <xf numFmtId="4" fontId="14" fillId="0" borderId="0" applyBorder="0">
      <alignment horizontal="right" vertical="center"/>
    </xf>
    <xf numFmtId="0" fontId="37" fillId="0" borderId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168" fontId="32" fillId="0" borderId="0" applyFont="0" applyFill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170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7" fontId="49" fillId="0" borderId="0">
      <alignment vertical="center"/>
    </xf>
    <xf numFmtId="0" fontId="32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" fontId="14" fillId="0" borderId="1" applyFill="0" applyBorder="0" applyProtection="0">
      <alignment horizontal="right" vertical="center"/>
    </xf>
    <xf numFmtId="0" fontId="15" fillId="0" borderId="0" applyNumberFormat="0" applyFill="0" applyBorder="0" applyProtection="0">
      <alignment horizontal="left" vertical="center"/>
    </xf>
    <xf numFmtId="0" fontId="12" fillId="30" borderId="0" applyNumberFormat="0" applyFont="0" applyBorder="0" applyAlignment="0" applyProtection="0"/>
    <xf numFmtId="0" fontId="9" fillId="30" borderId="0" applyNumberFormat="0" applyFont="0" applyBorder="0" applyAlignment="0" applyProtection="0"/>
    <xf numFmtId="0" fontId="33" fillId="0" borderId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171" fontId="38" fillId="0" borderId="0">
      <alignment horizontal="right"/>
    </xf>
    <xf numFmtId="174" fontId="9" fillId="0" borderId="0" applyFont="0" applyFill="0" applyBorder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6" fillId="0" borderId="0">
      <alignment vertical="top" wrapText="1"/>
    </xf>
    <xf numFmtId="0" fontId="3" fillId="0" borderId="0"/>
    <xf numFmtId="182" fontId="9" fillId="0" borderId="0" applyFill="0" applyBorder="0" applyAlignment="0" applyProtection="0">
      <alignment wrapText="1"/>
    </xf>
    <xf numFmtId="182" fontId="9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2" fontId="39" fillId="31" borderId="16">
      <alignment vertical="center"/>
    </xf>
    <xf numFmtId="170" fontId="40" fillId="31" borderId="16">
      <alignment vertical="center"/>
    </xf>
    <xf numFmtId="172" fontId="41" fillId="32" borderId="16">
      <alignment vertical="center"/>
    </xf>
    <xf numFmtId="0" fontId="9" fillId="33" borderId="17" applyBorder="0">
      <alignment horizontal="left" vertical="center"/>
    </xf>
    <xf numFmtId="49" fontId="9" fillId="34" borderId="1">
      <alignment vertical="center" wrapText="1"/>
    </xf>
    <xf numFmtId="0" fontId="9" fillId="35" borderId="18">
      <alignment horizontal="left" vertical="center" wrapText="1"/>
    </xf>
    <xf numFmtId="0" fontId="42" fillId="36" borderId="1">
      <alignment horizontal="left" vertical="center" wrapText="1"/>
    </xf>
    <xf numFmtId="0" fontId="9" fillId="37" borderId="1">
      <alignment horizontal="left" vertical="center" wrapText="1"/>
    </xf>
    <xf numFmtId="0" fontId="9" fillId="38" borderId="1">
      <alignment horizontal="left" vertical="center" wrapText="1"/>
    </xf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4" fontId="14" fillId="0" borderId="0"/>
    <xf numFmtId="0" fontId="34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28" borderId="4">
      <alignment vertical="top" wrapText="1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0" borderId="0" applyNumberFormat="0" applyFont="0" applyBorder="0" applyAlignment="0" applyProtection="0"/>
    <xf numFmtId="0" fontId="3" fillId="30" borderId="0" applyNumberFormat="0" applyFont="0" applyBorder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17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2" fontId="3" fillId="0" borderId="0" applyFill="0" applyBorder="0" applyAlignment="0" applyProtection="0">
      <alignment wrapText="1"/>
    </xf>
    <xf numFmtId="182" fontId="3" fillId="0" borderId="0" applyFill="0" applyBorder="0" applyAlignment="0" applyProtection="0">
      <alignment wrapText="1"/>
    </xf>
    <xf numFmtId="0" fontId="3" fillId="33" borderId="17" applyBorder="0">
      <alignment horizontal="left" vertical="center"/>
    </xf>
    <xf numFmtId="49" fontId="3" fillId="34" borderId="1">
      <alignment vertical="center" wrapText="1"/>
    </xf>
    <xf numFmtId="0" fontId="3" fillId="35" borderId="18">
      <alignment horizontal="left" vertical="center" wrapText="1"/>
    </xf>
    <xf numFmtId="0" fontId="3" fillId="37" borderId="1">
      <alignment horizontal="left" vertical="center" wrapText="1"/>
    </xf>
    <xf numFmtId="0" fontId="3" fillId="38" borderId="1">
      <alignment horizontal="left" vertical="center" wrapText="1"/>
    </xf>
    <xf numFmtId="0" fontId="58" fillId="43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6" fillId="0" borderId="0" xfId="0" applyFont="1"/>
    <xf numFmtId="0" fontId="4" fillId="39" borderId="21" xfId="0" applyFont="1" applyFill="1" applyBorder="1"/>
    <xf numFmtId="0" fontId="4" fillId="40" borderId="0" xfId="0" applyFont="1" applyFill="1"/>
    <xf numFmtId="0" fontId="6" fillId="40" borderId="0" xfId="0" applyFont="1" applyFill="1"/>
    <xf numFmtId="0" fontId="4" fillId="0" borderId="0" xfId="0" applyFont="1"/>
    <xf numFmtId="0" fontId="6" fillId="0" borderId="0" xfId="0" quotePrefix="1" applyFont="1" applyAlignment="1">
      <alignment horizontal="left"/>
    </xf>
    <xf numFmtId="0" fontId="8" fillId="40" borderId="0" xfId="0" applyFont="1" applyFill="1"/>
    <xf numFmtId="0" fontId="4" fillId="40" borderId="21" xfId="0" applyFont="1" applyFill="1" applyBorder="1"/>
    <xf numFmtId="0" fontId="3" fillId="0" borderId="0" xfId="0" applyFont="1"/>
    <xf numFmtId="0" fontId="0" fillId="42" borderId="0" xfId="0" applyFill="1"/>
    <xf numFmtId="178" fontId="0" fillId="0" borderId="0" xfId="0" applyNumberFormat="1"/>
    <xf numFmtId="0" fontId="4" fillId="41" borderId="0" xfId="0" applyFont="1" applyFill="1"/>
    <xf numFmtId="0" fontId="54" fillId="0" borderId="0" xfId="0" applyFont="1"/>
    <xf numFmtId="0" fontId="55" fillId="0" borderId="0" xfId="0" applyFont="1"/>
    <xf numFmtId="0" fontId="58" fillId="43" borderId="0" xfId="2832"/>
    <xf numFmtId="178" fontId="4" fillId="44" borderId="22" xfId="1980" applyNumberFormat="1" applyFont="1" applyFill="1" applyBorder="1" applyAlignment="1">
      <alignment vertical="center"/>
    </xf>
    <xf numFmtId="178" fontId="4" fillId="44" borderId="22" xfId="1980" applyNumberFormat="1" applyFont="1" applyFill="1" applyBorder="1" applyAlignment="1">
      <alignment horizontal="left" vertical="center"/>
    </xf>
    <xf numFmtId="178" fontId="3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9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3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4" fillId="44" borderId="21" xfId="1980" applyNumberFormat="1" applyFont="1" applyFill="1" applyBorder="1" applyAlignment="1">
      <alignment vertical="center"/>
    </xf>
    <xf numFmtId="178" fontId="6" fillId="0" borderId="0" xfId="1980" applyNumberFormat="1" applyFont="1"/>
    <xf numFmtId="0" fontId="0" fillId="0" borderId="0" xfId="0"/>
    <xf numFmtId="0" fontId="3" fillId="46" borderId="22" xfId="0" applyFont="1" applyFill="1" applyBorder="1"/>
    <xf numFmtId="178" fontId="3" fillId="46" borderId="22" xfId="0" applyNumberFormat="1" applyFont="1" applyFill="1" applyBorder="1"/>
    <xf numFmtId="0" fontId="0" fillId="46" borderId="22" xfId="0" applyFill="1" applyBorder="1"/>
  </cellXfs>
  <cellStyles count="3439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53125" defaultRowHeight="12.5"/>
  <sheetData>
    <row r="1" spans="1:1" ht="14.5">
      <c r="A1" s="13" t="s">
        <v>180</v>
      </c>
    </row>
    <row r="2" spans="1:1" ht="14.5">
      <c r="A2" s="14" t="s">
        <v>183</v>
      </c>
    </row>
    <row r="3" spans="1:1" ht="14.5">
      <c r="A3" s="14"/>
    </row>
    <row r="4" spans="1:1" ht="14.5">
      <c r="A4" s="13" t="s">
        <v>181</v>
      </c>
    </row>
    <row r="5" spans="1:1" ht="14.5">
      <c r="A5" s="14" t="s">
        <v>184</v>
      </c>
    </row>
    <row r="6" spans="1:1" ht="14.5">
      <c r="A6" s="14"/>
    </row>
    <row r="7" spans="1:1" ht="14.5">
      <c r="A7" s="13" t="s">
        <v>182</v>
      </c>
    </row>
    <row r="8" spans="1:1" ht="14.5">
      <c r="A8" s="14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1796875" defaultRowHeight="12.5"/>
  <cols>
    <col min="1" max="1" width="19.1796875" bestFit="1" customWidth="1"/>
    <col min="2" max="3" width="9.1796875" customWidth="1"/>
    <col min="4" max="4" width="13.7265625" bestFit="1" customWidth="1"/>
    <col min="5" max="5" width="9.1796875" customWidth="1"/>
    <col min="6" max="6" width="13.453125" bestFit="1" customWidth="1"/>
  </cols>
  <sheetData>
    <row r="1" spans="1:10">
      <c r="B1" t="s">
        <v>122</v>
      </c>
      <c r="H1" t="s">
        <v>123</v>
      </c>
      <c r="J1" t="s">
        <v>124</v>
      </c>
    </row>
    <row r="3" spans="1:10" ht="13">
      <c r="A3" s="1" t="s">
        <v>5</v>
      </c>
      <c r="H3" s="1" t="s">
        <v>7</v>
      </c>
      <c r="I3" s="5"/>
      <c r="J3" s="5"/>
    </row>
    <row r="4" spans="1:10" ht="13">
      <c r="A4" s="3" t="s">
        <v>8</v>
      </c>
      <c r="B4" s="3" t="s">
        <v>179</v>
      </c>
      <c r="H4" s="3" t="s">
        <v>9</v>
      </c>
      <c r="I4" s="3" t="s">
        <v>10</v>
      </c>
      <c r="J4" s="3" t="s">
        <v>11</v>
      </c>
    </row>
    <row r="5" spans="1:10" ht="13">
      <c r="A5" s="12" t="s">
        <v>102</v>
      </c>
      <c r="B5" t="s">
        <v>240</v>
      </c>
      <c r="H5" t="s">
        <v>260</v>
      </c>
      <c r="J5" t="s">
        <v>257</v>
      </c>
    </row>
    <row r="6" spans="1:10">
      <c r="B6" t="s">
        <v>241</v>
      </c>
      <c r="H6" t="s">
        <v>261</v>
      </c>
      <c r="J6" t="s">
        <v>258</v>
      </c>
    </row>
    <row r="7" spans="1:10">
      <c r="B7" t="s">
        <v>242</v>
      </c>
      <c r="H7" t="s">
        <v>262</v>
      </c>
      <c r="J7" t="s">
        <v>259</v>
      </c>
    </row>
    <row r="8" spans="1:10">
      <c r="B8" t="s">
        <v>243</v>
      </c>
      <c r="H8" t="s">
        <v>263</v>
      </c>
    </row>
    <row r="9" spans="1:10">
      <c r="B9" t="s">
        <v>244</v>
      </c>
    </row>
    <row r="10" spans="1:10">
      <c r="B10" t="s">
        <v>245</v>
      </c>
    </row>
    <row r="11" spans="1:10">
      <c r="B11" t="s">
        <v>246</v>
      </c>
    </row>
    <row r="12" spans="1:10">
      <c r="B12" t="s">
        <v>247</v>
      </c>
    </row>
    <row r="13" spans="1:10">
      <c r="B13" t="s">
        <v>248</v>
      </c>
    </row>
    <row r="14" spans="1:10">
      <c r="B14" t="s">
        <v>249</v>
      </c>
    </row>
    <row r="15" spans="1:10">
      <c r="B15" t="s">
        <v>250</v>
      </c>
    </row>
    <row r="16" spans="1:10">
      <c r="B16" t="s">
        <v>251</v>
      </c>
    </row>
    <row r="17" spans="2:2">
      <c r="B17" t="s">
        <v>252</v>
      </c>
    </row>
    <row r="18" spans="2:2">
      <c r="B18" t="s">
        <v>253</v>
      </c>
    </row>
    <row r="19" spans="2:2">
      <c r="B19" t="s">
        <v>254</v>
      </c>
    </row>
    <row r="20" spans="2:2">
      <c r="B20" t="s">
        <v>255</v>
      </c>
    </row>
    <row r="21" spans="2:2">
      <c r="B21" t="s">
        <v>256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1796875" defaultRowHeight="12.5"/>
  <cols>
    <col min="2" max="3" width="9.1796875" customWidth="1"/>
    <col min="4" max="4" width="16.81640625" bestFit="1" customWidth="1"/>
    <col min="5" max="5" width="9.1796875" customWidth="1"/>
    <col min="6" max="6" width="10.7265625" bestFit="1" customWidth="1"/>
    <col min="7" max="7" width="9.453125" bestFit="1" customWidth="1"/>
    <col min="8" max="9" width="8.453125" bestFit="1" customWidth="1"/>
    <col min="10" max="10" width="8.81640625" bestFit="1" customWidth="1"/>
    <col min="11" max="11" width="10.453125" bestFit="1" customWidth="1"/>
  </cols>
  <sheetData>
    <row r="1" spans="1:11" ht="13">
      <c r="A1">
        <v>1</v>
      </c>
      <c r="B1" s="6"/>
    </row>
    <row r="2" spans="1:11" ht="13">
      <c r="E2" s="4" t="s">
        <v>1</v>
      </c>
      <c r="F2" s="7"/>
    </row>
    <row r="3" spans="1:11" ht="13">
      <c r="B3" s="1" t="str">
        <f>IF($A$1=2,"~TFM_UPD","~TFM_MIG")</f>
        <v>~TFM_MIG</v>
      </c>
      <c r="G3" s="1"/>
      <c r="H3" s="1"/>
      <c r="I3" s="1"/>
    </row>
    <row r="4" spans="1:11" ht="13.5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168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169</v>
      </c>
      <c r="E6">
        <v>0</v>
      </c>
      <c r="F6">
        <v>2</v>
      </c>
      <c r="G6" s="9"/>
      <c r="H6" s="9"/>
    </row>
    <row r="7" spans="1:11">
      <c r="B7" s="9"/>
      <c r="C7" s="9"/>
      <c r="D7" t="s">
        <v>125</v>
      </c>
      <c r="E7">
        <v>0</v>
      </c>
      <c r="F7">
        <v>3</v>
      </c>
      <c r="G7" s="9"/>
      <c r="H7" s="9"/>
    </row>
    <row r="8" spans="1:11">
      <c r="B8" s="9"/>
      <c r="C8" s="9" t="s">
        <v>128</v>
      </c>
      <c r="D8" t="s">
        <v>127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 ht="13">
      <c r="E11" s="4" t="s">
        <v>2</v>
      </c>
      <c r="F11" s="7"/>
    </row>
    <row r="12" spans="1:11" ht="13">
      <c r="B12" s="1" t="s">
        <v>0</v>
      </c>
      <c r="G12" s="1"/>
      <c r="H12" s="1"/>
    </row>
    <row r="13" spans="1:11" ht="13.5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 ht="13">
      <c r="B19" s="1" t="str">
        <f>IF($A$1=2,"~TFM_INS","~TFM_INS-txt")</f>
        <v>~TFM_INS-txt</v>
      </c>
    </row>
    <row r="20" spans="2:11" ht="13.5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51"/>
  <sheetViews>
    <sheetView tabSelected="1" topLeftCell="A10" workbookViewId="0">
      <selection activeCell="D39" sqref="D39"/>
    </sheetView>
  </sheetViews>
  <sheetFormatPr defaultColWidth="9.1796875" defaultRowHeight="12.5"/>
  <cols>
    <col min="1" max="1" width="9.1796875" customWidth="1"/>
    <col min="2" max="2" width="15.26953125" bestFit="1" customWidth="1"/>
    <col min="3" max="3" width="14" bestFit="1" customWidth="1"/>
    <col min="4" max="4" width="52" bestFit="1" customWidth="1"/>
    <col min="5" max="5" width="5.453125" bestFit="1" customWidth="1"/>
    <col min="6" max="6" width="17.453125" customWidth="1"/>
    <col min="7" max="7" width="21" customWidth="1"/>
    <col min="8" max="8" width="17.453125" customWidth="1"/>
    <col min="9" max="9" width="19.453125" customWidth="1"/>
    <col min="10" max="10" width="5" bestFit="1" customWidth="1"/>
  </cols>
  <sheetData>
    <row r="2" spans="2:9" ht="13">
      <c r="B2" s="26" t="s">
        <v>39</v>
      </c>
      <c r="C2" s="11"/>
      <c r="D2" s="11"/>
      <c r="E2" s="11"/>
      <c r="F2" s="11"/>
      <c r="G2" s="11"/>
      <c r="H2" s="11"/>
      <c r="I2" s="11"/>
    </row>
    <row r="3" spans="2:9" ht="13">
      <c r="B3" s="16" t="s">
        <v>264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265</v>
      </c>
      <c r="C4" s="18" t="s">
        <v>266</v>
      </c>
      <c r="D4" s="18" t="s">
        <v>267</v>
      </c>
      <c r="E4" s="18" t="s">
        <v>42</v>
      </c>
      <c r="F4" s="18" t="s">
        <v>268</v>
      </c>
      <c r="G4" s="18" t="s">
        <v>269</v>
      </c>
      <c r="H4" s="18" t="s">
        <v>270</v>
      </c>
      <c r="I4" s="18" t="s">
        <v>271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58</v>
      </c>
      <c r="D7" s="20" t="s">
        <v>75</v>
      </c>
      <c r="E7" s="20" t="s">
        <v>61</v>
      </c>
      <c r="F7" s="19"/>
      <c r="G7" s="19"/>
      <c r="H7" s="19"/>
      <c r="I7" s="19"/>
    </row>
    <row r="8" spans="2:9">
      <c r="B8" s="19"/>
      <c r="C8" s="19" t="s">
        <v>56</v>
      </c>
      <c r="D8" s="20" t="s">
        <v>76</v>
      </c>
      <c r="E8" s="20" t="s">
        <v>61</v>
      </c>
      <c r="F8" s="19"/>
      <c r="G8" s="19" t="s">
        <v>33</v>
      </c>
      <c r="H8" s="19"/>
      <c r="I8" s="21"/>
    </row>
    <row r="9" spans="2:9">
      <c r="B9" s="19"/>
      <c r="C9" s="19" t="s">
        <v>57</v>
      </c>
      <c r="D9" s="20" t="s">
        <v>77</v>
      </c>
      <c r="E9" s="20" t="s">
        <v>61</v>
      </c>
      <c r="F9" s="19"/>
      <c r="G9" s="19"/>
      <c r="H9" s="19"/>
      <c r="I9" s="21"/>
    </row>
    <row r="10" spans="2:9">
      <c r="B10" s="19"/>
      <c r="C10" s="19" t="s">
        <v>115</v>
      </c>
      <c r="D10" s="20" t="s">
        <v>116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170</v>
      </c>
      <c r="D11" s="20" t="s">
        <v>172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69</v>
      </c>
      <c r="D12" s="20" t="s">
        <v>80</v>
      </c>
      <c r="E12" s="20" t="s">
        <v>61</v>
      </c>
      <c r="F12" s="19"/>
      <c r="G12" s="19"/>
      <c r="H12" s="19"/>
      <c r="I12" s="21"/>
    </row>
    <row r="13" spans="2:9">
      <c r="B13" s="19"/>
      <c r="C13" s="21" t="s">
        <v>175</v>
      </c>
      <c r="D13" s="20" t="s">
        <v>176</v>
      </c>
      <c r="E13" s="20" t="s">
        <v>61</v>
      </c>
      <c r="F13" s="19"/>
      <c r="G13" s="19"/>
      <c r="H13" s="19"/>
      <c r="I13" s="21"/>
    </row>
    <row r="14" spans="2:9">
      <c r="B14" s="19"/>
      <c r="C14" s="19" t="s">
        <v>62</v>
      </c>
      <c r="D14" s="22" t="s">
        <v>81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156</v>
      </c>
      <c r="D15" s="20" t="s">
        <v>157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63</v>
      </c>
      <c r="D16" s="20" t="s">
        <v>80</v>
      </c>
      <c r="E16" s="20" t="s">
        <v>61</v>
      </c>
      <c r="F16" s="19"/>
      <c r="G16" s="19"/>
      <c r="H16" s="19"/>
      <c r="I16" s="21"/>
    </row>
    <row r="17" spans="2:9">
      <c r="B17" s="19"/>
      <c r="C17" s="21" t="s">
        <v>65</v>
      </c>
      <c r="D17" s="20" t="s">
        <v>82</v>
      </c>
      <c r="E17" s="20" t="s">
        <v>61</v>
      </c>
      <c r="F17" s="21"/>
      <c r="G17" s="21" t="s">
        <v>33</v>
      </c>
      <c r="H17" s="21"/>
      <c r="I17" s="21"/>
    </row>
    <row r="18" spans="2:9">
      <c r="B18" s="21"/>
      <c r="C18" s="21" t="s">
        <v>70</v>
      </c>
      <c r="D18" s="20" t="s">
        <v>83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68</v>
      </c>
      <c r="D19" s="20" t="s">
        <v>84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60</v>
      </c>
      <c r="D20" s="20" t="s">
        <v>79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64</v>
      </c>
      <c r="D21" s="20" t="s">
        <v>85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126</v>
      </c>
      <c r="D22" s="20" t="s">
        <v>117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171</v>
      </c>
      <c r="D23" s="20" t="s">
        <v>173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59</v>
      </c>
      <c r="D24" s="20" t="s">
        <v>78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71</v>
      </c>
      <c r="D25" s="20" t="s">
        <v>86</v>
      </c>
      <c r="E25" s="20" t="s">
        <v>61</v>
      </c>
      <c r="F25" s="21"/>
      <c r="G25" s="21"/>
      <c r="H25" s="21"/>
      <c r="I25" s="21"/>
    </row>
    <row r="26" spans="2:9">
      <c r="B26" s="21"/>
      <c r="C26" s="21" t="s">
        <v>66</v>
      </c>
      <c r="D26" s="20" t="s">
        <v>87</v>
      </c>
      <c r="E26" s="20" t="s">
        <v>61</v>
      </c>
      <c r="F26" s="21"/>
      <c r="G26" s="21"/>
      <c r="H26" s="21"/>
      <c r="I26" s="21"/>
    </row>
    <row r="27" spans="2:9">
      <c r="B27" s="21"/>
      <c r="C27" s="23" t="s">
        <v>67</v>
      </c>
      <c r="D27" s="20" t="s">
        <v>88</v>
      </c>
      <c r="E27" s="20" t="s">
        <v>61</v>
      </c>
      <c r="F27" s="21"/>
      <c r="G27" s="21"/>
      <c r="H27" s="21"/>
      <c r="I27" s="21"/>
    </row>
    <row r="28" spans="2:9">
      <c r="B28" s="21"/>
      <c r="C28" s="21" t="s">
        <v>72</v>
      </c>
      <c r="D28" s="20" t="s">
        <v>89</v>
      </c>
      <c r="E28" s="20" t="s">
        <v>61</v>
      </c>
      <c r="F28" s="21"/>
      <c r="G28" s="21"/>
      <c r="H28" s="21"/>
      <c r="I28" s="21"/>
    </row>
    <row r="29" spans="2:9">
      <c r="B29" s="21"/>
      <c r="C29" s="23" t="s">
        <v>103</v>
      </c>
      <c r="D29" s="20" t="s">
        <v>91</v>
      </c>
      <c r="E29" s="20" t="s">
        <v>61</v>
      </c>
      <c r="F29" s="21"/>
      <c r="G29" s="21" t="s">
        <v>92</v>
      </c>
      <c r="H29" s="21" t="s">
        <v>109</v>
      </c>
      <c r="I29" s="21" t="s">
        <v>103</v>
      </c>
    </row>
    <row r="30" spans="2:9">
      <c r="B30" s="21"/>
      <c r="C30" s="23" t="s">
        <v>93</v>
      </c>
      <c r="D30" s="20" t="s">
        <v>94</v>
      </c>
      <c r="E30" s="20" t="s">
        <v>61</v>
      </c>
      <c r="F30" s="21"/>
      <c r="G30" s="21" t="s">
        <v>33</v>
      </c>
      <c r="H30" s="21"/>
      <c r="I30" s="21"/>
    </row>
    <row r="31" spans="2:9">
      <c r="B31" s="21" t="s">
        <v>90</v>
      </c>
      <c r="C31" s="23" t="s">
        <v>186</v>
      </c>
      <c r="D31" s="20" t="s">
        <v>118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187</v>
      </c>
      <c r="D32" s="20" t="s">
        <v>119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188</v>
      </c>
      <c r="D33" s="20" t="s">
        <v>120</v>
      </c>
      <c r="E33" s="20" t="s">
        <v>61</v>
      </c>
      <c r="F33" s="21"/>
      <c r="G33" s="21"/>
      <c r="H33" s="21"/>
      <c r="I33" s="21"/>
    </row>
    <row r="34" spans="2:11">
      <c r="B34" s="21"/>
      <c r="C34" s="23" t="s">
        <v>189</v>
      </c>
      <c r="D34" s="20" t="s">
        <v>121</v>
      </c>
      <c r="E34" s="20" t="s">
        <v>61</v>
      </c>
      <c r="F34" s="23"/>
      <c r="G34" s="21"/>
      <c r="H34" s="21"/>
      <c r="I34" s="21"/>
    </row>
    <row r="35" spans="2:11">
      <c r="B35" s="21"/>
      <c r="C35" s="23" t="s">
        <v>190</v>
      </c>
      <c r="D35" s="20" t="s">
        <v>193</v>
      </c>
      <c r="E35" s="20" t="s">
        <v>61</v>
      </c>
      <c r="F35" s="23"/>
      <c r="G35" s="21"/>
      <c r="H35" s="21"/>
      <c r="I35" s="21"/>
    </row>
    <row r="36" spans="2:11">
      <c r="B36" s="21"/>
      <c r="C36" s="23" t="s">
        <v>191</v>
      </c>
      <c r="D36" s="20" t="s">
        <v>194</v>
      </c>
      <c r="E36" s="20" t="s">
        <v>61</v>
      </c>
      <c r="F36" s="23"/>
      <c r="G36" s="21"/>
      <c r="H36" s="21"/>
      <c r="I36" s="21"/>
    </row>
    <row r="37" spans="2:11">
      <c r="B37" s="21"/>
      <c r="C37" s="23" t="s">
        <v>192</v>
      </c>
      <c r="D37" s="20" t="s">
        <v>195</v>
      </c>
      <c r="E37" s="20" t="s">
        <v>61</v>
      </c>
      <c r="F37" s="23"/>
      <c r="G37" s="21"/>
      <c r="H37" s="21"/>
      <c r="I37" s="21"/>
    </row>
    <row r="38" spans="2:11">
      <c r="B38" s="21" t="s">
        <v>98</v>
      </c>
      <c r="C38" s="23" t="s">
        <v>99</v>
      </c>
      <c r="D38" s="20" t="s">
        <v>100</v>
      </c>
      <c r="E38" s="20" t="s">
        <v>101</v>
      </c>
      <c r="F38" s="23"/>
      <c r="G38" s="21"/>
      <c r="H38" s="21"/>
      <c r="I38" s="21"/>
    </row>
    <row r="39" spans="2:11">
      <c r="B39" s="21"/>
      <c r="C39" s="23" t="s">
        <v>106</v>
      </c>
      <c r="D39" s="22" t="s">
        <v>285</v>
      </c>
      <c r="E39" s="20" t="s">
        <v>101</v>
      </c>
      <c r="F39" s="21" t="s">
        <v>112</v>
      </c>
      <c r="G39" s="21"/>
      <c r="H39" s="21"/>
      <c r="I39" s="21"/>
    </row>
    <row r="40" spans="2:11">
      <c r="B40" s="21"/>
      <c r="C40" s="23" t="s">
        <v>110</v>
      </c>
      <c r="D40" s="20" t="s">
        <v>111</v>
      </c>
      <c r="E40" s="20" t="s">
        <v>101</v>
      </c>
      <c r="F40" s="21" t="s">
        <v>112</v>
      </c>
      <c r="G40" s="21"/>
      <c r="H40" s="21"/>
      <c r="I40" s="21"/>
    </row>
    <row r="41" spans="2:11">
      <c r="B41" s="21"/>
      <c r="C41" s="23" t="s">
        <v>113</v>
      </c>
      <c r="D41" s="20" t="s">
        <v>114</v>
      </c>
      <c r="E41" s="20" t="s">
        <v>101</v>
      </c>
      <c r="F41" s="21"/>
      <c r="G41" s="21"/>
      <c r="H41" s="21"/>
      <c r="I41" s="21"/>
    </row>
    <row r="42" spans="2:11">
      <c r="B42" s="21"/>
      <c r="C42" s="24" t="s">
        <v>107</v>
      </c>
      <c r="D42" s="22" t="s">
        <v>108</v>
      </c>
      <c r="E42" s="22" t="s">
        <v>101</v>
      </c>
      <c r="F42" s="21"/>
      <c r="G42" s="21"/>
      <c r="H42" s="21"/>
      <c r="I42" s="21"/>
    </row>
    <row r="43" spans="2:11">
      <c r="B43" s="21" t="s">
        <v>38</v>
      </c>
      <c r="C43" s="21" t="s">
        <v>104</v>
      </c>
      <c r="D43" s="21" t="s">
        <v>105</v>
      </c>
      <c r="E43" s="21" t="s">
        <v>61</v>
      </c>
      <c r="F43" s="21"/>
      <c r="G43" s="21"/>
      <c r="H43" s="21"/>
      <c r="I43" s="21"/>
    </row>
    <row r="44" spans="2:11">
      <c r="B44" s="21" t="s">
        <v>98</v>
      </c>
      <c r="C44" s="21" t="s">
        <v>158</v>
      </c>
      <c r="D44" s="21" t="s">
        <v>159</v>
      </c>
      <c r="E44" s="21" t="s">
        <v>61</v>
      </c>
      <c r="F44" s="21"/>
      <c r="G44" s="21"/>
      <c r="H44" s="21"/>
      <c r="I44" s="21"/>
    </row>
    <row r="45" spans="2:11">
      <c r="B45" s="21" t="s">
        <v>38</v>
      </c>
      <c r="C45" s="21" t="s">
        <v>197</v>
      </c>
      <c r="D45" s="21" t="s">
        <v>198</v>
      </c>
      <c r="E45" s="21" t="s">
        <v>61</v>
      </c>
      <c r="F45" s="21"/>
      <c r="G45" s="21" t="s">
        <v>92</v>
      </c>
      <c r="H45" s="21"/>
      <c r="I45" s="21" t="s">
        <v>103</v>
      </c>
    </row>
    <row r="46" spans="2:11">
      <c r="B46" s="28" t="s">
        <v>38</v>
      </c>
      <c r="C46" s="28" t="s">
        <v>272</v>
      </c>
      <c r="D46" s="29" t="s">
        <v>273</v>
      </c>
      <c r="E46" s="29" t="s">
        <v>61</v>
      </c>
      <c r="F46" s="28" t="s">
        <v>112</v>
      </c>
      <c r="G46" s="28" t="s">
        <v>92</v>
      </c>
      <c r="H46" s="30"/>
      <c r="I46" s="30"/>
    </row>
    <row r="47" spans="2:11">
      <c r="B47" s="28" t="s">
        <v>90</v>
      </c>
      <c r="C47" s="28" t="s">
        <v>274</v>
      </c>
      <c r="D47" s="29" t="s">
        <v>275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90</v>
      </c>
      <c r="C48" s="28" t="s">
        <v>276</v>
      </c>
      <c r="D48" s="29" t="s">
        <v>277</v>
      </c>
      <c r="E48" s="29" t="s">
        <v>61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278</v>
      </c>
      <c r="D49" s="29" t="s">
        <v>279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280</v>
      </c>
      <c r="D50" s="29" t="s">
        <v>282</v>
      </c>
      <c r="E50" s="29" t="s">
        <v>101</v>
      </c>
      <c r="F50" s="28"/>
      <c r="G50" s="28"/>
      <c r="H50" s="30"/>
      <c r="I50" s="30"/>
    </row>
    <row r="51" spans="2:10">
      <c r="B51" s="28" t="s">
        <v>98</v>
      </c>
      <c r="C51" s="28" t="s">
        <v>281</v>
      </c>
      <c r="D51" s="29" t="s">
        <v>283</v>
      </c>
      <c r="E51" s="29" t="s">
        <v>101</v>
      </c>
      <c r="F51" s="28"/>
      <c r="G51" s="28"/>
      <c r="H51" s="30"/>
      <c r="I51" s="30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2" sqref="B2:B3"/>
    </sheetView>
  </sheetViews>
  <sheetFormatPr defaultColWidth="8.81640625" defaultRowHeight="12.5"/>
  <cols>
    <col min="6" max="6" width="14.54296875" bestFit="1" customWidth="1"/>
    <col min="7" max="7" width="10.7265625" bestFit="1" customWidth="1"/>
    <col min="8" max="8" width="9.7265625" bestFit="1" customWidth="1"/>
  </cols>
  <sheetData>
    <row r="2" spans="2:8" ht="13">
      <c r="B2" s="26" t="s">
        <v>29</v>
      </c>
    </row>
    <row r="3" spans="2:8" ht="13.5" thickBot="1">
      <c r="B3" s="25" t="s">
        <v>30</v>
      </c>
    </row>
    <row r="4" spans="2:8" ht="13">
      <c r="B4" t="s">
        <v>49</v>
      </c>
      <c r="F4" s="26" t="s">
        <v>199</v>
      </c>
    </row>
    <row r="5" spans="2:8" ht="13.5" thickBot="1">
      <c r="B5" t="s">
        <v>37</v>
      </c>
      <c r="F5" s="25" t="s">
        <v>200</v>
      </c>
      <c r="G5" s="25" t="s">
        <v>201</v>
      </c>
      <c r="H5" s="25" t="s">
        <v>202</v>
      </c>
    </row>
    <row r="6" spans="2:8">
      <c r="B6" t="s">
        <v>129</v>
      </c>
      <c r="F6" t="s">
        <v>203</v>
      </c>
      <c r="G6" t="s">
        <v>204</v>
      </c>
      <c r="H6">
        <v>1055.55</v>
      </c>
    </row>
    <row r="7" spans="2:8">
      <c r="B7" t="s">
        <v>130</v>
      </c>
      <c r="F7" t="s">
        <v>205</v>
      </c>
      <c r="G7" t="s">
        <v>204</v>
      </c>
      <c r="H7">
        <v>3.6</v>
      </c>
    </row>
    <row r="8" spans="2:8">
      <c r="B8" t="s">
        <v>131</v>
      </c>
      <c r="F8" t="s">
        <v>206</v>
      </c>
      <c r="G8" t="s">
        <v>207</v>
      </c>
      <c r="H8">
        <v>1000</v>
      </c>
    </row>
    <row r="9" spans="2:8">
      <c r="B9" t="s">
        <v>132</v>
      </c>
      <c r="F9" t="s">
        <v>208</v>
      </c>
      <c r="G9" t="s">
        <v>204</v>
      </c>
      <c r="H9">
        <v>1.06</v>
      </c>
    </row>
    <row r="10" spans="2:8">
      <c r="B10" t="s">
        <v>133</v>
      </c>
      <c r="F10" t="s">
        <v>209</v>
      </c>
      <c r="G10" t="s">
        <v>204</v>
      </c>
      <c r="H10">
        <v>0.04</v>
      </c>
    </row>
    <row r="11" spans="2:8">
      <c r="B11" t="s">
        <v>134</v>
      </c>
      <c r="F11" t="s">
        <v>210</v>
      </c>
      <c r="G11" t="s">
        <v>204</v>
      </c>
      <c r="H11">
        <v>41.87</v>
      </c>
    </row>
    <row r="12" spans="2:8">
      <c r="B12" t="s">
        <v>135</v>
      </c>
      <c r="F12" t="s">
        <v>211</v>
      </c>
      <c r="G12" t="s">
        <v>204</v>
      </c>
      <c r="H12">
        <v>3.5999999999999999E-3</v>
      </c>
    </row>
    <row r="13" spans="2:8">
      <c r="B13" t="s">
        <v>136</v>
      </c>
      <c r="F13" t="s">
        <v>212</v>
      </c>
      <c r="G13" t="s">
        <v>207</v>
      </c>
      <c r="H13">
        <v>1000000</v>
      </c>
    </row>
    <row r="14" spans="2:8">
      <c r="B14" t="s">
        <v>137</v>
      </c>
      <c r="F14" t="s">
        <v>218</v>
      </c>
      <c r="G14" t="s">
        <v>219</v>
      </c>
      <c r="H14">
        <v>1000</v>
      </c>
    </row>
    <row r="15" spans="2:8">
      <c r="B15" t="s">
        <v>138</v>
      </c>
      <c r="F15" t="s">
        <v>220</v>
      </c>
      <c r="G15" t="s">
        <v>221</v>
      </c>
      <c r="H15">
        <v>0.15</v>
      </c>
    </row>
    <row r="16" spans="2:8">
      <c r="B16" t="s">
        <v>139</v>
      </c>
      <c r="F16" t="s">
        <v>222</v>
      </c>
      <c r="G16" t="s">
        <v>223</v>
      </c>
      <c r="H16">
        <v>0</v>
      </c>
    </row>
    <row r="17" spans="2:8">
      <c r="B17" t="s">
        <v>140</v>
      </c>
      <c r="F17" t="s">
        <v>213</v>
      </c>
      <c r="G17" t="s">
        <v>204</v>
      </c>
      <c r="H17">
        <v>1000</v>
      </c>
    </row>
    <row r="18" spans="2:8">
      <c r="B18" t="s">
        <v>141</v>
      </c>
      <c r="F18" t="s">
        <v>214</v>
      </c>
      <c r="G18" t="s">
        <v>204</v>
      </c>
      <c r="H18">
        <v>37.68</v>
      </c>
    </row>
    <row r="19" spans="2:8">
      <c r="B19" t="s">
        <v>142</v>
      </c>
      <c r="F19" t="s">
        <v>215</v>
      </c>
      <c r="G19" t="s">
        <v>204</v>
      </c>
      <c r="H19">
        <v>2299</v>
      </c>
    </row>
    <row r="20" spans="2:8">
      <c r="B20" t="s">
        <v>143</v>
      </c>
      <c r="F20" t="s">
        <v>216</v>
      </c>
      <c r="G20" t="s">
        <v>221</v>
      </c>
      <c r="H20">
        <v>2.78</v>
      </c>
    </row>
    <row r="21" spans="2:8">
      <c r="B21" t="s">
        <v>144</v>
      </c>
      <c r="F21" t="s">
        <v>217</v>
      </c>
      <c r="G21" t="s">
        <v>204</v>
      </c>
      <c r="H21">
        <v>3.6</v>
      </c>
    </row>
    <row r="22" spans="2:8">
      <c r="B22" t="s">
        <v>145</v>
      </c>
      <c r="F22" t="s">
        <v>204</v>
      </c>
      <c r="G22" t="s">
        <v>204</v>
      </c>
      <c r="H22">
        <v>1</v>
      </c>
    </row>
    <row r="23" spans="2:8">
      <c r="B23" t="s">
        <v>31</v>
      </c>
    </row>
    <row r="24" spans="2:8">
      <c r="B24" t="s">
        <v>146</v>
      </c>
    </row>
    <row r="25" spans="2:8">
      <c r="B25" t="s">
        <v>147</v>
      </c>
    </row>
    <row r="26" spans="2:8">
      <c r="B26" t="s">
        <v>148</v>
      </c>
    </row>
    <row r="27" spans="2:8">
      <c r="B27" t="s">
        <v>52</v>
      </c>
    </row>
    <row r="28" spans="2:8">
      <c r="B28" t="s">
        <v>47</v>
      </c>
    </row>
    <row r="29" spans="2:8">
      <c r="B29" t="s">
        <v>149</v>
      </c>
    </row>
    <row r="30" spans="2:8">
      <c r="B30" t="s">
        <v>150</v>
      </c>
    </row>
    <row r="31" spans="2:8">
      <c r="B31" t="s">
        <v>151</v>
      </c>
    </row>
    <row r="32" spans="2:8">
      <c r="B32" t="s">
        <v>36</v>
      </c>
    </row>
    <row r="33" spans="2:2">
      <c r="B33" t="s">
        <v>152</v>
      </c>
    </row>
    <row r="34" spans="2:2">
      <c r="B34" t="s">
        <v>53</v>
      </c>
    </row>
    <row r="35" spans="2:2">
      <c r="B35" t="s">
        <v>153</v>
      </c>
    </row>
    <row r="36" spans="2:2">
      <c r="B36" t="s">
        <v>154</v>
      </c>
    </row>
    <row r="37" spans="2:2">
      <c r="B37" t="s">
        <v>50</v>
      </c>
    </row>
    <row r="38" spans="2:2">
      <c r="B38" t="s">
        <v>155</v>
      </c>
    </row>
    <row r="39" spans="2:2">
      <c r="B39" t="s">
        <v>177</v>
      </c>
    </row>
    <row r="40" spans="2:2">
      <c r="B40" t="s">
        <v>178</v>
      </c>
    </row>
    <row r="41" spans="2:2">
      <c r="B41" t="s">
        <v>231</v>
      </c>
    </row>
    <row r="42" spans="2:2">
      <c r="B42" t="s">
        <v>232</v>
      </c>
    </row>
    <row r="43" spans="2:2">
      <c r="B43" t="s">
        <v>233</v>
      </c>
    </row>
    <row r="44" spans="2:2">
      <c r="B44" t="s">
        <v>234</v>
      </c>
    </row>
    <row r="45" spans="2:2">
      <c r="B45" t="s">
        <v>235</v>
      </c>
    </row>
    <row r="46" spans="2:2">
      <c r="B46" t="s">
        <v>236</v>
      </c>
    </row>
    <row r="47" spans="2:2">
      <c r="B47" t="s">
        <v>237</v>
      </c>
    </row>
  </sheetData>
  <phoneticPr fontId="5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I30"/>
  <sheetViews>
    <sheetView workbookViewId="0">
      <selection activeCell="L25" sqref="L25"/>
    </sheetView>
  </sheetViews>
  <sheetFormatPr defaultColWidth="9.1796875" defaultRowHeight="12.5"/>
  <cols>
    <col min="1" max="1" width="9.1796875" customWidth="1"/>
    <col min="2" max="2" width="13.54296875" bestFit="1" customWidth="1"/>
    <col min="5" max="5" width="15.7265625" bestFit="1" customWidth="1"/>
    <col min="6" max="8" width="11.54296875" bestFit="1" customWidth="1"/>
    <col min="9" max="9" width="14.81640625" bestFit="1" customWidth="1"/>
    <col min="10" max="10" width="11.54296875" bestFit="1" customWidth="1"/>
  </cols>
  <sheetData>
    <row r="1" spans="2:9" ht="14.5">
      <c r="F1" s="15" t="s">
        <v>229</v>
      </c>
    </row>
    <row r="2" spans="2:9" ht="14.5">
      <c r="F2" s="15">
        <v>2017</v>
      </c>
    </row>
    <row r="3" spans="2:9" ht="13">
      <c r="B3" s="26" t="s">
        <v>23</v>
      </c>
      <c r="F3">
        <v>2018</v>
      </c>
    </row>
    <row r="4" spans="2:9">
      <c r="B4">
        <f>MIN($F$2:$F$6)</f>
        <v>2017</v>
      </c>
    </row>
    <row r="7" spans="2:9" ht="13">
      <c r="B7" s="26" t="s">
        <v>24</v>
      </c>
    </row>
    <row r="8" spans="2:9">
      <c r="B8" t="str">
        <f>F12</f>
        <v>msy11_2050</v>
      </c>
    </row>
    <row r="11" spans="2:9" ht="13">
      <c r="B11" s="26" t="s">
        <v>6</v>
      </c>
      <c r="E11" s="26" t="s">
        <v>225</v>
      </c>
    </row>
    <row r="12" spans="2:9" ht="13.5" thickBot="1">
      <c r="B12" s="25" t="s">
        <v>174</v>
      </c>
      <c r="E12" s="25" t="s">
        <v>226</v>
      </c>
      <c r="F12" s="25" t="s">
        <v>238</v>
      </c>
      <c r="G12" s="25" t="s">
        <v>239</v>
      </c>
      <c r="H12" s="25" t="s">
        <v>230</v>
      </c>
      <c r="I12" s="25" t="s">
        <v>284</v>
      </c>
    </row>
    <row r="13" spans="2:9">
      <c r="B13" s="10">
        <v>1</v>
      </c>
      <c r="E13" t="s">
        <v>227</v>
      </c>
      <c r="I13" s="27"/>
    </row>
    <row r="14" spans="2:9">
      <c r="B14" s="10">
        <v>1</v>
      </c>
      <c r="E14" t="s">
        <v>228</v>
      </c>
      <c r="F14">
        <f>$B$4</f>
        <v>2017</v>
      </c>
      <c r="G14">
        <f>$B$4</f>
        <v>2017</v>
      </c>
      <c r="H14">
        <f>$B$4</f>
        <v>2017</v>
      </c>
      <c r="I14" s="27">
        <f>$B$4</f>
        <v>2017</v>
      </c>
    </row>
    <row r="15" spans="2:9">
      <c r="B15" s="10">
        <v>1</v>
      </c>
      <c r="E15" t="s">
        <v>228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  <c r="I15" s="27">
        <f t="shared" ref="I15" si="1">I14+1</f>
        <v>2018</v>
      </c>
    </row>
    <row r="16" spans="2:9">
      <c r="B16" s="10">
        <v>5</v>
      </c>
      <c r="E16" t="s">
        <v>228</v>
      </c>
      <c r="F16">
        <f t="shared" si="0"/>
        <v>2019</v>
      </c>
      <c r="G16">
        <f t="shared" si="0"/>
        <v>2019</v>
      </c>
      <c r="H16">
        <f t="shared" si="0"/>
        <v>2019</v>
      </c>
      <c r="I16" s="27">
        <f t="shared" ref="I16" si="2">I15+1</f>
        <v>2019</v>
      </c>
    </row>
    <row r="17" spans="2:9">
      <c r="B17" s="10">
        <v>5</v>
      </c>
      <c r="E17" t="s">
        <v>228</v>
      </c>
      <c r="F17">
        <f t="shared" si="0"/>
        <v>2020</v>
      </c>
      <c r="G17">
        <f t="shared" si="0"/>
        <v>2020</v>
      </c>
      <c r="H17">
        <f t="shared" si="0"/>
        <v>2020</v>
      </c>
      <c r="I17" s="27">
        <f t="shared" ref="I17" si="3">I16+1</f>
        <v>2020</v>
      </c>
    </row>
    <row r="18" spans="2:9">
      <c r="B18" s="10">
        <v>5</v>
      </c>
      <c r="E18" t="s">
        <v>228</v>
      </c>
      <c r="F18">
        <f t="shared" si="0"/>
        <v>2021</v>
      </c>
      <c r="G18">
        <f t="shared" si="0"/>
        <v>2021</v>
      </c>
      <c r="H18">
        <f t="shared" si="0"/>
        <v>2021</v>
      </c>
      <c r="I18" s="27">
        <f t="shared" ref="I18" si="4">I17+1</f>
        <v>2021</v>
      </c>
    </row>
    <row r="19" spans="2:9">
      <c r="B19" s="10">
        <v>5</v>
      </c>
      <c r="E19" t="s">
        <v>228</v>
      </c>
      <c r="F19">
        <f>F17+5</f>
        <v>2025</v>
      </c>
      <c r="G19">
        <f>G17+5</f>
        <v>2025</v>
      </c>
      <c r="H19">
        <v>2030</v>
      </c>
      <c r="I19" s="27">
        <f>I17+5</f>
        <v>2025</v>
      </c>
    </row>
    <row r="20" spans="2:9">
      <c r="B20" s="10">
        <v>5</v>
      </c>
      <c r="E20" t="s">
        <v>228</v>
      </c>
      <c r="F20">
        <f>F19+5</f>
        <v>2030</v>
      </c>
      <c r="G20">
        <f>G19+5</f>
        <v>2030</v>
      </c>
      <c r="H20">
        <v>2040</v>
      </c>
      <c r="I20" s="27">
        <f t="shared" ref="I20:I25" si="5">I19+5</f>
        <v>2030</v>
      </c>
    </row>
    <row r="21" spans="2:9">
      <c r="B21" s="10">
        <v>5</v>
      </c>
      <c r="E21" t="s">
        <v>228</v>
      </c>
      <c r="F21">
        <f>F20+5</f>
        <v>2035</v>
      </c>
      <c r="G21">
        <v>2040</v>
      </c>
      <c r="H21">
        <v>2050</v>
      </c>
      <c r="I21" s="27">
        <f t="shared" si="5"/>
        <v>2035</v>
      </c>
    </row>
    <row r="22" spans="2:9">
      <c r="B22" s="10">
        <v>5</v>
      </c>
      <c r="E22" t="s">
        <v>228</v>
      </c>
      <c r="F22">
        <f>F21+5</f>
        <v>2040</v>
      </c>
      <c r="G22">
        <v>2050</v>
      </c>
      <c r="I22" s="27">
        <f t="shared" si="5"/>
        <v>2040</v>
      </c>
    </row>
    <row r="23" spans="2:9">
      <c r="E23" t="s">
        <v>228</v>
      </c>
      <c r="F23">
        <f>F22+5</f>
        <v>2045</v>
      </c>
      <c r="I23" s="27">
        <f t="shared" si="5"/>
        <v>2045</v>
      </c>
    </row>
    <row r="24" spans="2:9">
      <c r="E24" t="s">
        <v>228</v>
      </c>
      <c r="F24">
        <f>F23+5</f>
        <v>2050</v>
      </c>
      <c r="I24" s="27">
        <f t="shared" si="5"/>
        <v>2050</v>
      </c>
    </row>
    <row r="25" spans="2:9">
      <c r="E25" s="27" t="s">
        <v>228</v>
      </c>
      <c r="I25">
        <f t="shared" si="5"/>
        <v>2055</v>
      </c>
    </row>
    <row r="26" spans="2:9">
      <c r="E26" s="27" t="s">
        <v>228</v>
      </c>
      <c r="I26" s="27">
        <f t="shared" ref="I26:I30" si="6">I25+5</f>
        <v>2060</v>
      </c>
    </row>
    <row r="27" spans="2:9">
      <c r="E27" s="27" t="s">
        <v>228</v>
      </c>
      <c r="I27" s="27">
        <f t="shared" si="6"/>
        <v>2065</v>
      </c>
    </row>
    <row r="28" spans="2:9">
      <c r="E28" s="27" t="s">
        <v>228</v>
      </c>
      <c r="I28" s="27">
        <f t="shared" si="6"/>
        <v>2070</v>
      </c>
    </row>
    <row r="29" spans="2:9">
      <c r="E29" s="27" t="s">
        <v>228</v>
      </c>
      <c r="I29" s="27">
        <f>I28+5</f>
        <v>2075</v>
      </c>
    </row>
    <row r="30" spans="2:9">
      <c r="E30" s="27" t="s">
        <v>228</v>
      </c>
      <c r="I30" s="27">
        <f t="shared" si="6"/>
        <v>2080</v>
      </c>
    </row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1796875" defaultRowHeight="12.5"/>
  <cols>
    <col min="1" max="1" width="9.1796875" customWidth="1"/>
    <col min="2" max="2" width="15.26953125" bestFit="1" customWidth="1"/>
    <col min="3" max="3" width="11.1796875" bestFit="1" customWidth="1"/>
    <col min="4" max="4" width="8.453125" bestFit="1" customWidth="1"/>
    <col min="5" max="5" width="9.81640625" bestFit="1" customWidth="1"/>
    <col min="6" max="6" width="8.453125" bestFit="1" customWidth="1"/>
    <col min="7" max="7" width="10.7265625" bestFit="1" customWidth="1"/>
    <col min="8" max="8" width="4.81640625" bestFit="1" customWidth="1"/>
    <col min="9" max="10" width="5" bestFit="1" customWidth="1"/>
  </cols>
  <sheetData>
    <row r="3" spans="2:7">
      <c r="B3" t="s">
        <v>25</v>
      </c>
    </row>
    <row r="4" spans="2:7" ht="13.5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81640625" defaultRowHeight="12.5"/>
  <cols>
    <col min="2" max="2" width="8.453125" bestFit="1" customWidth="1"/>
    <col min="3" max="3" width="9.81640625" bestFit="1" customWidth="1"/>
    <col min="4" max="4" width="19.7265625" bestFit="1" customWidth="1"/>
    <col min="5" max="5" width="10.7265625" bestFit="1" customWidth="1"/>
  </cols>
  <sheetData>
    <row r="3" spans="3:5" ht="13">
      <c r="C3" s="26" t="s">
        <v>12</v>
      </c>
    </row>
    <row r="4" spans="3:5" ht="13.5" thickBot="1">
      <c r="C4" s="25" t="s">
        <v>16</v>
      </c>
      <c r="D4" s="25" t="s">
        <v>160</v>
      </c>
      <c r="E4" s="25" t="s">
        <v>13</v>
      </c>
    </row>
    <row r="5" spans="3:5">
      <c r="C5" t="s">
        <v>161</v>
      </c>
      <c r="D5" t="s">
        <v>162</v>
      </c>
    </row>
    <row r="6" spans="3:5">
      <c r="C6" t="s">
        <v>161</v>
      </c>
      <c r="D6" t="s">
        <v>163</v>
      </c>
      <c r="E6">
        <v>1</v>
      </c>
    </row>
    <row r="7" spans="3:5">
      <c r="C7" t="s">
        <v>161</v>
      </c>
      <c r="D7" t="s">
        <v>164</v>
      </c>
      <c r="E7">
        <v>1</v>
      </c>
    </row>
    <row r="8" spans="3:5">
      <c r="C8" t="s">
        <v>161</v>
      </c>
      <c r="D8" t="s">
        <v>165</v>
      </c>
      <c r="E8">
        <v>0</v>
      </c>
    </row>
    <row r="9" spans="3:5">
      <c r="C9" t="s">
        <v>161</v>
      </c>
      <c r="D9" t="s">
        <v>166</v>
      </c>
      <c r="E9">
        <v>1</v>
      </c>
    </row>
    <row r="10" spans="3:5">
      <c r="C10" t="s">
        <v>161</v>
      </c>
      <c r="D10" t="s">
        <v>167</v>
      </c>
      <c r="E10">
        <v>1</v>
      </c>
    </row>
    <row r="11" spans="3:5">
      <c r="C11" t="s">
        <v>161</v>
      </c>
      <c r="D11" s="9" t="s">
        <v>196</v>
      </c>
      <c r="E11">
        <v>1</v>
      </c>
    </row>
    <row r="12" spans="3:5">
      <c r="C12" t="s">
        <v>161</v>
      </c>
      <c r="D12" t="s">
        <v>224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2021-12-03T16:34:46Z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