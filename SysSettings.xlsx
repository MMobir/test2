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"/>
    </mc:Choice>
  </mc:AlternateContent>
  <xr:revisionPtr revIDLastSave="0" documentId="13_ncr:1_{8CDA0B86-A4E9-4E9D-BE52-B62779A80F21}" xr6:coauthVersionLast="47" xr6:coauthVersionMax="47" xr10:uidLastSave="{00000000-0000-0000-0000-000000000000}"/>
  <bookViews>
    <workbookView xWindow="-108" yWindow="-108" windowWidth="30936" windowHeight="16896" tabRatio="853" activeTab="3" xr2:uid="{00000000-000D-0000-FFFF-FFFF00000000}"/>
  </bookViews>
  <sheets>
    <sheet name="Readme" sheetId="25" r:id="rId1"/>
    <sheet name="RTT" sheetId="16" r:id="rId2"/>
    <sheet name="Interpolation etc." sheetId="14" r:id="rId3"/>
    <sheet name="Commodities" sheetId="23" r:id="rId4"/>
    <sheet name="Defaults" sheetId="22" r:id="rId5"/>
    <sheet name="TimePeriods" sheetId="20" r:id="rId6"/>
    <sheet name="UD_CG" sheetId="21" r:id="rId7"/>
    <sheet name="Reporting options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20" l="1"/>
  <c r="I30" i="20" s="1"/>
  <c r="I26" i="20"/>
  <c r="I27" i="20"/>
  <c r="I28" i="20"/>
  <c r="I25" i="20"/>
  <c r="I14" i="20"/>
  <c r="I15" i="20" s="1"/>
  <c r="I16" i="20" s="1"/>
  <c r="I17" i="20" s="1"/>
  <c r="B4" i="20"/>
  <c r="B8" i="20"/>
  <c r="B19" i="14"/>
  <c r="E4" i="14"/>
  <c r="B3" i="14"/>
  <c r="I19" i="20" l="1"/>
  <c r="I20" i="20" s="1"/>
  <c r="I21" i="20" s="1"/>
  <c r="I22" i="20" s="1"/>
  <c r="I23" i="20" s="1"/>
  <c r="I24" i="20" s="1"/>
  <c r="I18" i="20"/>
  <c r="F14" i="20"/>
  <c r="F15" i="20" s="1"/>
  <c r="F16" i="20" s="1"/>
  <c r="F17" i="20" s="1"/>
  <c r="G14" i="20"/>
  <c r="G15" i="20" s="1"/>
  <c r="G16" i="20" s="1"/>
  <c r="G17" i="20" s="1"/>
  <c r="H14" i="20"/>
  <c r="H15" i="20" s="1"/>
  <c r="H16" i="20" s="1"/>
  <c r="H17" i="20" s="1"/>
  <c r="H18" i="20" s="1"/>
  <c r="F18" i="20" l="1"/>
  <c r="F19" i="20"/>
  <c r="F20" i="20" s="1"/>
  <c r="F21" i="20" s="1"/>
  <c r="F22" i="20" s="1"/>
  <c r="F23" i="20" s="1"/>
  <c r="F24" i="20" s="1"/>
  <c r="G19" i="20"/>
  <c r="G20" i="20" s="1"/>
  <c r="G1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A71B02C-BA7F-4DCD-ABCB-4510CA94D76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11-10-2019
1 for new veda
2 for legacy version
</t>
        </r>
        <r>
          <rPr>
            <b/>
            <sz val="9"/>
            <color indexed="81"/>
            <rFont val="Tahoma"/>
            <family val="2"/>
          </rPr>
          <t xml:space="preserve">Mahmoud Mobir: </t>
        </r>
        <r>
          <rPr>
            <sz val="9"/>
            <color indexed="81"/>
            <rFont val="Tahoma"/>
            <family val="2"/>
          </rPr>
          <t xml:space="preserve">
02-10-2021
in the new version of Veda, UPD tables for I/E rules are no longer read. The user must use MIG table for this purpose.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Mahmoud Mobir</author>
  </authors>
  <commentList>
    <comment ref="B3" authorId="0" shapeId="0" xr:uid="{61590560-D9A7-42E1-9DC4-FBCB5A0093EF}">
      <text>
        <r>
          <rPr>
            <sz val="9"/>
            <color indexed="81"/>
            <rFont val="Tahoma"/>
            <family val="2"/>
          </rPr>
          <t>Csets declarations are inherited until the next one is encountered.
Possible Cset:
NRG (Energy)
ENV (Emission)
DEM (Demand)
MAT(Material)
FIN (Financial)</t>
        </r>
      </text>
    </comment>
    <comment ref="F3" authorId="0" shapeId="0" xr:uid="{11774CC7-022C-4764-B6A1-99766CE60ED0}">
      <text>
        <r>
          <rPr>
            <sz val="9"/>
            <color indexed="81"/>
            <rFont val="Tahoma"/>
            <family val="2"/>
          </rPr>
          <t>Possible Lim Type
UP (upper for &gt;=)
LO (Lower for &lt;=)
FX (Fix for =)</t>
        </r>
      </text>
    </comment>
    <comment ref="G3" authorId="0" shapeId="0" xr:uid="{2DC14E2F-02A8-464C-A759-1E0A20910712}">
      <text>
        <r>
          <rPr>
            <sz val="9"/>
            <color indexed="81"/>
            <rFont val="Tahoma"/>
            <family val="2"/>
          </rPr>
          <t>Possible CTSLvl
SEASON (Seasonal level)
WEEKLY (Weekly level)
DAYNITE (day and night level)</t>
        </r>
      </text>
    </comment>
    <comment ref="H3" authorId="0" shapeId="0" xr:uid="{79C4D5CD-A686-41E9-B1B9-7675DB872661}">
      <text>
        <r>
          <rPr>
            <sz val="9"/>
            <color indexed="81"/>
            <rFont val="Tahoma"/>
            <family val="2"/>
          </rPr>
          <t>Possible PeakTS
ANNUAL (to generate Peak Equation for all the TimeSlices)
User TS (to generate Peak Equation for a single TS)</t>
        </r>
      </text>
    </comment>
    <comment ref="I3" authorId="0" shapeId="0" xr:uid="{F55E500C-0D4B-45E8-9342-32C24F1E6ED1}">
      <text>
        <r>
          <rPr>
            <sz val="9"/>
            <color indexed="81"/>
            <rFont val="Tahoma"/>
            <family val="2"/>
          </rPr>
          <t>Possible Ctype
ELC (Electricity)</t>
        </r>
      </text>
    </comment>
    <comment ref="B64" authorId="1" shapeId="0" xr:uid="{529796A4-735E-4813-82E2-7C659793636E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12-10-2021
This commodity was deleted from the RES because there is no supply-cruve associated to it. IT drives the CO2 price like crazy when net zero emissions from ELE are modeled.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F1" authorId="0" shapeId="0" xr:uid="{303FA0FF-E7DD-459D-A32D-035ABA01F357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30-12-2020
last historical year (written by MIG)
</t>
        </r>
      </text>
    </comment>
  </commentList>
</comments>
</file>

<file path=xl/sharedStrings.xml><?xml version="1.0" encoding="utf-8"?>
<sst xmlns="http://schemas.openxmlformats.org/spreadsheetml/2006/main" count="420" uniqueCount="290">
  <si>
    <t>~TFM_UPD</t>
  </si>
  <si>
    <t>Interpolation Options</t>
  </si>
  <si>
    <t>Dmy Imp Prices</t>
  </si>
  <si>
    <t>IMP*Z</t>
  </si>
  <si>
    <t>ACTCOST</t>
  </si>
  <si>
    <t>~BookRegions_Map</t>
  </si>
  <si>
    <t>~TimePeriods</t>
  </si>
  <si>
    <t>~TimeSlices</t>
  </si>
  <si>
    <t>BookName</t>
  </si>
  <si>
    <t>Season</t>
  </si>
  <si>
    <t>Weekly</t>
  </si>
  <si>
    <t>DayNite</t>
  </si>
  <si>
    <t>~TFM_INS</t>
  </si>
  <si>
    <t>AllRegions</t>
  </si>
  <si>
    <t>TimeSlice</t>
  </si>
  <si>
    <t>LimType</t>
  </si>
  <si>
    <t>Attribute</t>
  </si>
  <si>
    <t>Year</t>
  </si>
  <si>
    <t>Cset_CN</t>
  </si>
  <si>
    <t>Pset_PN</t>
  </si>
  <si>
    <t>Pset_PD</t>
  </si>
  <si>
    <t>Cset_Set</t>
  </si>
  <si>
    <t>IMPDEMZ</t>
  </si>
  <si>
    <t>~StartYear</t>
  </si>
  <si>
    <t>~ActivePDef</t>
  </si>
  <si>
    <t>~TFM_COMGRP</t>
  </si>
  <si>
    <t>Name</t>
  </si>
  <si>
    <t>Description</t>
  </si>
  <si>
    <t>Cset_CD</t>
  </si>
  <si>
    <t>~Currencies</t>
  </si>
  <si>
    <t>Currency</t>
  </si>
  <si>
    <t>USD00</t>
  </si>
  <si>
    <t>COM_TSL</t>
  </si>
  <si>
    <t>SEASON</t>
  </si>
  <si>
    <t>Pset_CI</t>
  </si>
  <si>
    <t>Pset_CO</t>
  </si>
  <si>
    <t>USD09</t>
  </si>
  <si>
    <t>EUR07</t>
  </si>
  <si>
    <t>NRG</t>
  </si>
  <si>
    <t>~FI_Comm</t>
  </si>
  <si>
    <t>CommName</t>
  </si>
  <si>
    <t>CommDesc</t>
  </si>
  <si>
    <t>Unit</t>
  </si>
  <si>
    <t>CTSLvl</t>
  </si>
  <si>
    <t>PeakTS</t>
  </si>
  <si>
    <t>Ctype</t>
  </si>
  <si>
    <t>Pset_Set</t>
  </si>
  <si>
    <t>USD05</t>
  </si>
  <si>
    <t>CSET_Set</t>
  </si>
  <si>
    <t>USD10</t>
  </si>
  <si>
    <t>USD15</t>
  </si>
  <si>
    <t>PSET_SET</t>
  </si>
  <si>
    <t>USD04</t>
  </si>
  <si>
    <t>USD12</t>
  </si>
  <si>
    <t>BIOCRP</t>
  </si>
  <si>
    <t>COABIT</t>
  </si>
  <si>
    <t>GASNAT</t>
  </si>
  <si>
    <t>OILRPP</t>
  </si>
  <si>
    <t>COALIG</t>
  </si>
  <si>
    <t>ELCREN</t>
  </si>
  <si>
    <t>ELCNUC</t>
  </si>
  <si>
    <t>TBTU</t>
  </si>
  <si>
    <t>ELCCOA</t>
  </si>
  <si>
    <t>ELCCRP</t>
  </si>
  <si>
    <t>ELCOIL</t>
  </si>
  <si>
    <t>ELCGAS</t>
  </si>
  <si>
    <t>ELCWAS</t>
  </si>
  <si>
    <t>ELCWHT</t>
  </si>
  <si>
    <t>ELCHYD</t>
  </si>
  <si>
    <t>ELCBIO</t>
  </si>
  <si>
    <t>ELCGEO</t>
  </si>
  <si>
    <t>ELCSOL</t>
  </si>
  <si>
    <t>ELCWIN</t>
  </si>
  <si>
    <t>Primary Supply - Bioenergy</t>
  </si>
  <si>
    <t>Primary Supply - Bituminous Coal</t>
  </si>
  <si>
    <t>Primary Supply - Lignite</t>
  </si>
  <si>
    <t>Primary Supply - Natural Gas</t>
  </si>
  <si>
    <t>Primary Supply - Oil</t>
  </si>
  <si>
    <t>Primary Supply - All RE sources for electricity</t>
  </si>
  <si>
    <t>Primary Supply - Fuel for Nuclear plants</t>
  </si>
  <si>
    <t>Elec Fuel - Utility - bioenergy</t>
  </si>
  <si>
    <t>Elec Fuel - Utility - Coal</t>
  </si>
  <si>
    <t>Elec Fuel - Utility - natural gas</t>
  </si>
  <si>
    <t>Elec Fuel - Utility - geothermal</t>
  </si>
  <si>
    <t>Elec Fuel - Utility - hydro</t>
  </si>
  <si>
    <t>Elec Fuel - Utility - oil</t>
  </si>
  <si>
    <t>Elec Fuel - Utility - solar</t>
  </si>
  <si>
    <t>Elec Fuel - Utility - waste</t>
  </si>
  <si>
    <t>Elec Fuel - Utility - waste heat</t>
  </si>
  <si>
    <t>Elec Fuel - Utility - wind</t>
  </si>
  <si>
    <t>DEM</t>
  </si>
  <si>
    <t>Electricity - Utility</t>
  </si>
  <si>
    <t>DAYNITE</t>
  </si>
  <si>
    <t>HET</t>
  </si>
  <si>
    <t>Heat - Utility</t>
  </si>
  <si>
    <t>*GAS,*NGA</t>
  </si>
  <si>
    <t>PRC_TSL</t>
  </si>
  <si>
    <t>*COA,*NUC</t>
  </si>
  <si>
    <t>ENV</t>
  </si>
  <si>
    <t>ELCCO2N</t>
  </si>
  <si>
    <t>CO2 from electricity generation</t>
  </si>
  <si>
    <t>kt</t>
  </si>
  <si>
    <t>IEMM</t>
  </si>
  <si>
    <t>ELC</t>
  </si>
  <si>
    <t>DumGrid</t>
  </si>
  <si>
    <t>dummy commodity</t>
  </si>
  <si>
    <t>CO2Captured</t>
  </si>
  <si>
    <t>ELCCO2Net</t>
  </si>
  <si>
    <t>Net CO2 from electricity generation</t>
  </si>
  <si>
    <t>ANNUAL</t>
  </si>
  <si>
    <t>CO2ForStorage</t>
  </si>
  <si>
    <t>CO2 after transportation - for storage</t>
  </si>
  <si>
    <t>FX</t>
  </si>
  <si>
    <t>ELCCO2-Seq</t>
  </si>
  <si>
    <t>CO2 sequestered from electricity generation (for accounting)</t>
  </si>
  <si>
    <t>OILDST</t>
  </si>
  <si>
    <t>Primary Supply - Distillate</t>
  </si>
  <si>
    <t>Elec Fuel - Utility - Distillate</t>
  </si>
  <si>
    <t>Industry Electricity Demand</t>
  </si>
  <si>
    <t>Commmercial Electricity Demand</t>
  </si>
  <si>
    <t>Residential Electricity Demand</t>
  </si>
  <si>
    <t>Transportation Electricity Demand</t>
  </si>
  <si>
    <t>VT_SYS_Regions</t>
  </si>
  <si>
    <t>VT_SYS_TS_Season</t>
  </si>
  <si>
    <t>VT_SYS_TS_DNite</t>
  </si>
  <si>
    <t>CAP_BND</t>
  </si>
  <si>
    <t>ELCOIL_DST</t>
  </si>
  <si>
    <t>ACT_BND</t>
  </si>
  <si>
    <t>UP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</si>
  <si>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</si>
  <si>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</si>
  <si>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</si>
  <si>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</si>
  <si>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</si>
  <si>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</si>
  <si>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</si>
  <si>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</si>
  <si>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</si>
  <si>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</si>
  <si>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</si>
  <si>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</si>
  <si>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</si>
  <si>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</si>
  <si>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</si>
  <si>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</si>
  <si>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</si>
  <si>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USD01</t>
  </si>
  <si>
    <t>USD02</t>
  </si>
  <si>
    <t>USD03</t>
  </si>
  <si>
    <t>USD06</t>
  </si>
  <si>
    <t>USD07</t>
  </si>
  <si>
    <t>USD08</t>
  </si>
  <si>
    <t>USD11</t>
  </si>
  <si>
    <t>USD13</t>
  </si>
  <si>
    <t>USD14</t>
  </si>
  <si>
    <t>USD16</t>
  </si>
  <si>
    <t>ELCCoaG</t>
  </si>
  <si>
    <t>Elec Fuel - Utility - Coal for IGCC plants</t>
  </si>
  <si>
    <t>dVarCost</t>
  </si>
  <si>
    <t>dummy to model SHAPEd ACT_COST</t>
  </si>
  <si>
    <t>Other_Indexes</t>
  </si>
  <si>
    <t>RPT_OPT</t>
  </si>
  <si>
    <t>ACT~2</t>
  </si>
  <si>
    <t>FLO~3</t>
  </si>
  <si>
    <t>FLO~5</t>
  </si>
  <si>
    <t>FLO~7</t>
  </si>
  <si>
    <t>COMPRD~1</t>
  </si>
  <si>
    <t>OBJ~1</t>
  </si>
  <si>
    <t>NCAP_FOMX</t>
  </si>
  <si>
    <t>FLO_FUNCX</t>
  </si>
  <si>
    <t>OILCRD</t>
  </si>
  <si>
    <t>ELCOIL_CRD</t>
  </si>
  <si>
    <t>Primary Supply - Crude</t>
  </si>
  <si>
    <t>Elec Fuel - Utility - Crude</t>
  </si>
  <si>
    <t>10P2050</t>
  </si>
  <si>
    <t>ELCBio_DST</t>
  </si>
  <si>
    <t>Elec Fuel - Utility - biodiesel</t>
  </si>
  <si>
    <t>USD17</t>
  </si>
  <si>
    <t>USD18</t>
  </si>
  <si>
    <t>Region</t>
  </si>
  <si>
    <t>Workbook purpose:</t>
  </si>
  <si>
    <t>Data source:</t>
  </si>
  <si>
    <t>User-modifiable?</t>
  </si>
  <si>
    <t>Provides basic model setup including regions, units, timeslices, and defaults</t>
  </si>
  <si>
    <t>Produced by the MIG based on Aggregation Controller settings</t>
  </si>
  <si>
    <t>Change region and timeslice definitions in Aggregation Controller. Do not modify this workbook.</t>
  </si>
  <si>
    <t>DEMelin</t>
  </si>
  <si>
    <t>DEMelcm</t>
  </si>
  <si>
    <t>DEMelrs</t>
  </si>
  <si>
    <t>DEMeltr</t>
  </si>
  <si>
    <t>DEMhtin</t>
  </si>
  <si>
    <t>DEMhtcm</t>
  </si>
  <si>
    <t>DEMhtrs</t>
  </si>
  <si>
    <t>Industry Heat Demand</t>
  </si>
  <si>
    <t>Commmercial Heat Demand</t>
  </si>
  <si>
    <t>Residential Heat Demand</t>
  </si>
  <si>
    <t>NCAP~1</t>
  </si>
  <si>
    <t>ELCCurt</t>
  </si>
  <si>
    <t>curtailed electricity</t>
  </si>
  <si>
    <t>~UnitConversion</t>
  </si>
  <si>
    <t>from_unit</t>
  </si>
  <si>
    <t>to_unit</t>
  </si>
  <si>
    <t>multiplier</t>
  </si>
  <si>
    <t>QBtu</t>
  </si>
  <si>
    <t>PJ</t>
  </si>
  <si>
    <t>Billion Kwh</t>
  </si>
  <si>
    <t>Mt</t>
  </si>
  <si>
    <t>Kt</t>
  </si>
  <si>
    <t>TBtu</t>
  </si>
  <si>
    <t>ktoe</t>
  </si>
  <si>
    <t>mtoe</t>
  </si>
  <si>
    <t>Gwh</t>
  </si>
  <si>
    <t>Gt</t>
  </si>
  <si>
    <t>EJ</t>
  </si>
  <si>
    <t>bcm</t>
  </si>
  <si>
    <t>mbpd</t>
  </si>
  <si>
    <t>Cents per Kwh</t>
  </si>
  <si>
    <t>Twh</t>
  </si>
  <si>
    <t>b$</t>
  </si>
  <si>
    <t>m$</t>
  </si>
  <si>
    <t>$ per bbl</t>
  </si>
  <si>
    <t>$ per GJ</t>
  </si>
  <si>
    <t>$ per ton</t>
  </si>
  <si>
    <t>m$ per kt</t>
  </si>
  <si>
    <t>ELC~1</t>
  </si>
  <si>
    <t>~Milestoneyears</t>
  </si>
  <si>
    <t>type</t>
  </si>
  <si>
    <t>endyear</t>
  </si>
  <si>
    <t>milestoneyear</t>
  </si>
  <si>
    <t>year</t>
  </si>
  <si>
    <t>msy08_2050</t>
  </si>
  <si>
    <t>USD19</t>
  </si>
  <si>
    <t>USD20</t>
  </si>
  <si>
    <t>USD21</t>
  </si>
  <si>
    <t>USD22</t>
  </si>
  <si>
    <t>USD23</t>
  </si>
  <si>
    <t>USD24</t>
  </si>
  <si>
    <t>USD25</t>
  </si>
  <si>
    <t>msy11_2050</t>
  </si>
  <si>
    <t>msy09_2050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</si>
  <si>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</si>
  <si>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</si>
  <si>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</si>
  <si>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</si>
  <si>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</si>
  <si>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</si>
  <si>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</si>
  <si>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</si>
  <si>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</si>
  <si>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</si>
  <si>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</si>
  <si>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</si>
  <si>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</si>
  <si>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</si>
  <si>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</si>
  <si>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</si>
  <si>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</si>
  <si>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D</t>
  </si>
  <si>
    <t>N</t>
  </si>
  <si>
    <t>P</t>
  </si>
  <si>
    <t>F</t>
  </si>
  <si>
    <t>R</t>
  </si>
  <si>
    <t>S</t>
  </si>
  <si>
    <t>W</t>
  </si>
  <si>
    <t>Csets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</si>
  <si>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</si>
  <si>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</si>
  <si>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</si>
  <si>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</si>
  <si>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</si>
  <si>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</si>
  <si>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</si>
  <si>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SYNH2CU</t>
  </si>
  <si>
    <t>Centralized Hydrogen with Under ground storage</t>
  </si>
  <si>
    <t>DEMH2in</t>
  </si>
  <si>
    <t>Industry Hydrogen Demand</t>
  </si>
  <si>
    <t>DEMH2tr</t>
  </si>
  <si>
    <t>Transportation Hydrogen Demand</t>
  </si>
  <si>
    <t>SUPCO2N</t>
  </si>
  <si>
    <t>CO2 from the supply side</t>
  </si>
  <si>
    <t>SUPCO2Net</t>
  </si>
  <si>
    <t>SUPCO2-Seq</t>
  </si>
  <si>
    <t>Net CO2 from the supply side</t>
  </si>
  <si>
    <t>CO2 sequestered from the supply side (for accounting)</t>
  </si>
  <si>
    <t>msy11_2080</t>
  </si>
  <si>
    <t>CO2 Captured from electricity generation and the supply side</t>
  </si>
  <si>
    <t>msy2_2080</t>
  </si>
  <si>
    <t>Deleted from the RES</t>
  </si>
  <si>
    <t>TOTCO2Net</t>
  </si>
  <si>
    <t>Total Net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</si>
</sst>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.00_ ;_ * \-#,##0.00_ ;_ * &quot;-&quot;??_ ;_ @_ "/>
    <numFmt numFmtId="167" formatCode="_-&quot;$&quot;* #,##0.00_-;\-&quot;$&quot;* #,##0.00_-;_-&quot;$&quot;* &quot;-&quot;??_-;_-@_-"/>
    <numFmt numFmtId="168" formatCode="_-* #,##0.00\ _€_-;\-* #,##0.00\ _€_-;_-* &quot;-&quot;??\ _€_-;_-@_-"/>
    <numFmt numFmtId="169" formatCode="_([$€]* #,##0.00_);_([$€]* \(#,##0.00\);_([$€]* &quot;-&quot;??_);_(@_)"/>
    <numFmt numFmtId="170" formatCode="0.0%"/>
    <numFmt numFmtId="171" formatCode="\(##\);\(##\)"/>
    <numFmt numFmtId="172" formatCode="#,##0.0"/>
    <numFmt numFmtId="173" formatCode="_-[$€-2]\ * #,##0.00_-;\-[$€-2]\ * #,##0.00_-;_-[$€-2]\ * &quot;-&quot;??_-"/>
    <numFmt numFmtId="174" formatCode="#,##0;\-\ #,##0;_-\ &quot;- &quot;"/>
    <numFmt numFmtId="175" formatCode="_-&quot;€&quot;\ * #,##0.00_-;\-&quot;€&quot;\ * #,##0.00_-;_-&quot;€&quot;\ * &quot;-&quot;??_-;_-@_-"/>
    <numFmt numFmtId="176" formatCode="_([$€-2]* #,##0.00_);_([$€-2]* \(#,##0.00\);_([$€-2]* &quot;-&quot;??_)"/>
    <numFmt numFmtId="177" formatCode="General_)"/>
    <numFmt numFmtId="178" formatCode="\Te\x\t"/>
    <numFmt numFmtId="179" formatCode="m\o\n\th\ d\,\ yyyy"/>
    <numFmt numFmtId="180" formatCode="#.00"/>
    <numFmt numFmtId="181" formatCode="#."/>
    <numFmt numFmtId="182" formatCode="yyyy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sz val="8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EB9C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439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3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2" fillId="0" borderId="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10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18" borderId="0" applyNumberFormat="0" applyBorder="0" applyAlignment="0" applyProtection="0"/>
    <xf numFmtId="0" fontId="17" fillId="5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2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16" borderId="0" applyNumberFormat="0" applyBorder="0" applyAlignment="0" applyProtection="0"/>
    <xf numFmtId="0" fontId="17" fillId="2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5" borderId="0" applyNumberFormat="0" applyBorder="0" applyAlignment="0" applyProtection="0"/>
    <xf numFmtId="0" fontId="17" fillId="21" borderId="0" applyNumberFormat="0" applyBorder="0" applyAlignment="0" applyProtection="0"/>
    <xf numFmtId="4" fontId="13" fillId="24" borderId="1">
      <alignment horizontal="right" vertical="center"/>
    </xf>
    <xf numFmtId="4" fontId="13" fillId="24" borderId="1">
      <alignment horizontal="right" vertical="center"/>
    </xf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9" fillId="25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9" fillId="25" borderId="2" applyNumberFormat="0" applyAlignment="0" applyProtection="0"/>
    <xf numFmtId="0" fontId="11" fillId="26" borderId="2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0" fontId="20" fillId="27" borderId="3" applyNumberFormat="0" applyAlignment="0" applyProtection="0"/>
    <xf numFmtId="49" fontId="9" fillId="28" borderId="4">
      <alignment vertical="top" wrapText="1"/>
    </xf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0" fontId="44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0" fontId="4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4" fillId="0" borderId="5">
      <alignment horizontal="left" vertical="center" wrapText="1" indent="2"/>
    </xf>
    <xf numFmtId="179" fontId="51" fillId="0" borderId="0">
      <protection locked="0"/>
    </xf>
    <xf numFmtId="179" fontId="51" fillId="0" borderId="0">
      <protection locked="0"/>
    </xf>
    <xf numFmtId="3" fontId="35" fillId="0" borderId="4">
      <alignment horizontal="right" vertical="top"/>
    </xf>
    <xf numFmtId="0" fontId="4" fillId="29" borderId="1">
      <alignment horizontal="centerContinuous" vertical="top" wrapText="1"/>
    </xf>
    <xf numFmtId="0" fontId="36" fillId="0" borderId="0">
      <alignment vertical="top" wrapText="1"/>
    </xf>
    <xf numFmtId="169" fontId="12" fillId="0" borderId="0" applyFont="0" applyFill="0" applyBorder="0" applyAlignment="0" applyProtection="0"/>
    <xf numFmtId="17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5" fontId="3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0" fontId="51" fillId="0" borderId="0">
      <protection locked="0"/>
    </xf>
    <xf numFmtId="180" fontId="51" fillId="0" borderId="0">
      <protection locked="0"/>
    </xf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3" fillId="0" borderId="6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45" fillId="0" borderId="7" applyNumberFormat="0" applyFill="0" applyAlignment="0" applyProtection="0"/>
    <xf numFmtId="0" fontId="23" fillId="0" borderId="6" applyNumberFormat="0" applyFill="0" applyAlignment="0" applyProtection="0"/>
    <xf numFmtId="0" fontId="45" fillId="0" borderId="7" applyNumberFormat="0" applyFill="0" applyAlignment="0" applyProtection="0"/>
    <xf numFmtId="0" fontId="24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24" fillId="0" borderId="8" applyNumberFormat="0" applyFill="0" applyAlignment="0" applyProtection="0"/>
    <xf numFmtId="0" fontId="46" fillId="0" borderId="9" applyNumberFormat="0" applyFill="0" applyAlignment="0" applyProtection="0"/>
    <xf numFmtId="0" fontId="25" fillId="0" borderId="10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25" fillId="0" borderId="10" applyNumberFormat="0" applyFill="0" applyAlignment="0" applyProtection="0"/>
    <xf numFmtId="0" fontId="47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81" fontId="52" fillId="0" borderId="0">
      <protection locked="0"/>
    </xf>
    <xf numFmtId="181" fontId="52" fillId="0" borderId="0">
      <protection locked="0"/>
    </xf>
    <xf numFmtId="181" fontId="52" fillId="0" borderId="0">
      <protection locked="0"/>
    </xf>
    <xf numFmtId="181" fontId="52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6" fillId="9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12" borderId="2" applyNumberFormat="0" applyAlignment="0" applyProtection="0"/>
    <xf numFmtId="0" fontId="26" fillId="9" borderId="2" applyNumberFormat="0" applyAlignment="0" applyProtection="0"/>
    <xf numFmtId="0" fontId="26" fillId="12" borderId="2" applyNumberFormat="0" applyAlignment="0" applyProtection="0"/>
    <xf numFmtId="4" fontId="14" fillId="0" borderId="0" applyBorder="0">
      <alignment horizontal="right" vertical="center"/>
    </xf>
    <xf numFmtId="0" fontId="37" fillId="0" borderId="0"/>
    <xf numFmtId="0" fontId="27" fillId="0" borderId="12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7" fillId="0" borderId="12" applyNumberFormat="0" applyFill="0" applyAlignment="0" applyProtection="0"/>
    <xf numFmtId="0" fontId="31" fillId="0" borderId="13" applyNumberFormat="0" applyFill="0" applyAlignment="0" applyProtection="0"/>
    <xf numFmtId="168" fontId="32" fillId="0" borderId="0" applyFont="0" applyFill="0" applyBorder="0" applyAlignment="0" applyProtection="0"/>
    <xf numFmtId="0" fontId="2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28" fillId="12" borderId="0" applyNumberFormat="0" applyBorder="0" applyAlignment="0" applyProtection="0"/>
    <xf numFmtId="0" fontId="48" fillId="1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5" fontId="4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5" fontId="49" fillId="0" borderId="0">
      <alignment vertical="center"/>
    </xf>
    <xf numFmtId="5" fontId="49" fillId="0" borderId="0">
      <alignment vertical="center"/>
    </xf>
    <xf numFmtId="5" fontId="49" fillId="0" borderId="0">
      <alignment vertical="center"/>
    </xf>
    <xf numFmtId="5" fontId="4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5" fontId="49" fillId="0" borderId="0">
      <alignment vertical="center"/>
    </xf>
    <xf numFmtId="5" fontId="49" fillId="0" borderId="0">
      <alignment vertical="center"/>
    </xf>
    <xf numFmtId="5" fontId="4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5" fontId="49" fillId="0" borderId="0">
      <alignment vertical="center"/>
    </xf>
    <xf numFmtId="5" fontId="49" fillId="0" borderId="0">
      <alignment vertical="center"/>
    </xf>
    <xf numFmtId="5" fontId="49" fillId="0" borderId="0">
      <alignment vertical="center"/>
    </xf>
    <xf numFmtId="5" fontId="49" fillId="0" borderId="0">
      <alignment vertical="center"/>
    </xf>
    <xf numFmtId="0" fontId="53" fillId="0" borderId="0"/>
    <xf numFmtId="170" fontId="4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4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7" fontId="49" fillId="0" borderId="0">
      <alignment vertical="center"/>
    </xf>
    <xf numFmtId="0" fontId="32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" fontId="14" fillId="0" borderId="1" applyFill="0" applyBorder="0" applyProtection="0">
      <alignment horizontal="right" vertical="center"/>
    </xf>
    <xf numFmtId="0" fontId="15" fillId="0" borderId="0" applyNumberFormat="0" applyFill="0" applyBorder="0" applyProtection="0">
      <alignment horizontal="left" vertical="center"/>
    </xf>
    <xf numFmtId="0" fontId="12" fillId="30" borderId="0" applyNumberFormat="0" applyFont="0" applyBorder="0" applyAlignment="0" applyProtection="0"/>
    <xf numFmtId="0" fontId="9" fillId="30" borderId="0" applyNumberFormat="0" applyFont="0" applyBorder="0" applyAlignment="0" applyProtection="0"/>
    <xf numFmtId="0" fontId="33" fillId="0" borderId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16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16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0" fontId="9" fillId="7" borderId="14" applyNumberFormat="0" applyFont="0" applyAlignment="0" applyProtection="0"/>
    <xf numFmtId="171" fontId="38" fillId="0" borderId="0">
      <alignment horizontal="right"/>
    </xf>
    <xf numFmtId="174" fontId="9" fillId="0" borderId="0" applyFont="0" applyFill="0" applyBorder="0" applyAlignment="0" applyProtection="0"/>
    <xf numFmtId="0" fontId="29" fillId="25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6" borderId="15" applyNumberFormat="0" applyAlignment="0" applyProtection="0"/>
    <xf numFmtId="0" fontId="29" fillId="25" borderId="15" applyNumberFormat="0" applyAlignment="0" applyProtection="0"/>
    <xf numFmtId="0" fontId="29" fillId="26" borderId="15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6" fillId="0" borderId="0">
      <alignment vertical="top" wrapText="1"/>
    </xf>
    <xf numFmtId="0" fontId="3" fillId="0" borderId="0"/>
    <xf numFmtId="182" fontId="9" fillId="0" borderId="0" applyFill="0" applyBorder="0" applyAlignment="0" applyProtection="0">
      <alignment wrapText="1"/>
    </xf>
    <xf numFmtId="182" fontId="9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2" fontId="39" fillId="31" borderId="16">
      <alignment vertical="center"/>
    </xf>
    <xf numFmtId="170" fontId="40" fillId="31" borderId="16">
      <alignment vertical="center"/>
    </xf>
    <xf numFmtId="172" fontId="41" fillId="32" borderId="16">
      <alignment vertical="center"/>
    </xf>
    <xf numFmtId="0" fontId="9" fillId="33" borderId="17" applyBorder="0">
      <alignment horizontal="left" vertical="center"/>
    </xf>
    <xf numFmtId="49" fontId="9" fillId="34" borderId="1">
      <alignment vertical="center" wrapText="1"/>
    </xf>
    <xf numFmtId="0" fontId="9" fillId="35" borderId="18">
      <alignment horizontal="left" vertical="center" wrapText="1"/>
    </xf>
    <xf numFmtId="0" fontId="42" fillId="36" borderId="1">
      <alignment horizontal="left" vertical="center" wrapText="1"/>
    </xf>
    <xf numFmtId="0" fontId="9" fillId="37" borderId="1">
      <alignment horizontal="left" vertical="center" wrapText="1"/>
    </xf>
    <xf numFmtId="0" fontId="9" fillId="38" borderId="1">
      <alignment horizontal="left" vertical="center" wrapText="1"/>
    </xf>
    <xf numFmtId="0" fontId="3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0" fillId="0" borderId="19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20" applyNumberFormat="0" applyFill="0" applyAlignment="0" applyProtection="0"/>
    <xf numFmtId="0" fontId="10" fillId="0" borderId="19" applyNumberFormat="0" applyFill="0" applyAlignment="0" applyProtection="0"/>
    <xf numFmtId="0" fontId="10" fillId="0" borderId="20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" fontId="14" fillId="0" borderId="0"/>
    <xf numFmtId="0" fontId="3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49" fontId="3" fillId="28" borderId="4">
      <alignment vertical="top" wrapText="1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0" applyNumberFormat="0" applyFont="0" applyBorder="0" applyAlignment="0" applyProtection="0"/>
    <xf numFmtId="0" fontId="3" fillId="30" borderId="0" applyNumberFormat="0" applyFont="0" applyBorder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0" fontId="3" fillId="7" borderId="14" applyNumberFormat="0" applyFont="0" applyAlignment="0" applyProtection="0"/>
    <xf numFmtId="17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2" fontId="3" fillId="0" borderId="0" applyFill="0" applyBorder="0" applyAlignment="0" applyProtection="0">
      <alignment wrapText="1"/>
    </xf>
    <xf numFmtId="182" fontId="3" fillId="0" borderId="0" applyFill="0" applyBorder="0" applyAlignment="0" applyProtection="0">
      <alignment wrapText="1"/>
    </xf>
    <xf numFmtId="0" fontId="3" fillId="33" borderId="17" applyBorder="0">
      <alignment horizontal="left" vertical="center"/>
    </xf>
    <xf numFmtId="49" fontId="3" fillId="34" borderId="1">
      <alignment vertical="center" wrapText="1"/>
    </xf>
    <xf numFmtId="0" fontId="3" fillId="35" borderId="18">
      <alignment horizontal="left" vertical="center" wrapText="1"/>
    </xf>
    <xf numFmtId="0" fontId="3" fillId="37" borderId="1">
      <alignment horizontal="left" vertical="center" wrapText="1"/>
    </xf>
    <xf numFmtId="0" fontId="3" fillId="38" borderId="1">
      <alignment horizontal="left" vertical="center" wrapText="1"/>
    </xf>
    <xf numFmtId="0" fontId="58" fillId="43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4" fillId="39" borderId="21" xfId="0" applyFont="1" applyFill="1" applyBorder="1"/>
    <xf numFmtId="0" fontId="4" fillId="40" borderId="0" xfId="0" applyFont="1" applyFill="1"/>
    <xf numFmtId="0" fontId="6" fillId="40" borderId="0" xfId="0" applyFont="1" applyFill="1"/>
    <xf numFmtId="0" fontId="4" fillId="0" borderId="0" xfId="0" applyFont="1"/>
    <xf numFmtId="0" fontId="6" fillId="0" borderId="0" xfId="0" quotePrefix="1" applyFont="1" applyAlignment="1">
      <alignment horizontal="left"/>
    </xf>
    <xf numFmtId="0" fontId="8" fillId="40" borderId="0" xfId="0" applyFont="1" applyFill="1"/>
    <xf numFmtId="0" fontId="4" fillId="40" borderId="21" xfId="0" applyFont="1" applyFill="1" applyBorder="1"/>
    <xf numFmtId="0" fontId="3" fillId="0" borderId="0" xfId="0" applyFont="1"/>
    <xf numFmtId="0" fontId="0" fillId="42" borderId="0" xfId="0" applyFill="1"/>
    <xf numFmtId="178" fontId="0" fillId="0" borderId="0" xfId="0" applyNumberFormat="1"/>
    <xf numFmtId="0" fontId="4" fillId="41" borderId="0" xfId="0" applyFont="1" applyFill="1"/>
    <xf numFmtId="0" fontId="54" fillId="0" borderId="0" xfId="0" applyFont="1"/>
    <xf numFmtId="0" fontId="55" fillId="0" borderId="0" xfId="0" applyFont="1"/>
    <xf numFmtId="0" fontId="58" fillId="43" borderId="0" xfId="2832"/>
    <xf numFmtId="178" fontId="4" fillId="44" borderId="22" xfId="1980" applyNumberFormat="1" applyFont="1" applyFill="1" applyBorder="1" applyAlignment="1">
      <alignment vertical="center"/>
    </xf>
    <xf numFmtId="178" fontId="4" fillId="44" borderId="22" xfId="1980" applyNumberFormat="1" applyFont="1" applyFill="1" applyBorder="1" applyAlignment="1">
      <alignment horizontal="left" vertical="center"/>
    </xf>
    <xf numFmtId="178" fontId="3" fillId="45" borderId="21" xfId="1980" applyNumberFormat="1" applyFont="1" applyFill="1" applyBorder="1" applyAlignment="1">
      <alignment horizontal="left" vertical="center" wrapText="1"/>
    </xf>
    <xf numFmtId="178" fontId="0" fillId="0" borderId="0" xfId="0" applyNumberFormat="1" applyAlignment="1">
      <alignment vertical="center"/>
    </xf>
    <xf numFmtId="178" fontId="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8" fontId="4" fillId="44" borderId="21" xfId="1980" applyNumberFormat="1" applyFont="1" applyFill="1" applyBorder="1" applyAlignment="1">
      <alignment vertical="center"/>
    </xf>
    <xf numFmtId="178" fontId="6" fillId="0" borderId="0" xfId="1980" applyNumberFormat="1" applyFont="1"/>
    <xf numFmtId="0" fontId="0" fillId="0" borderId="0" xfId="0"/>
    <xf numFmtId="0" fontId="3" fillId="46" borderId="22" xfId="0" applyFont="1" applyFill="1" applyBorder="1"/>
    <xf numFmtId="178" fontId="3" fillId="46" borderId="22" xfId="0" applyNumberFormat="1" applyFont="1" applyFill="1" applyBorder="1"/>
    <xf numFmtId="0" fontId="0" fillId="46" borderId="22" xfId="0" applyFill="1" applyBorder="1"/>
  </cellXfs>
  <cellStyles count="3439">
    <cellStyle name="20% - Accent1 2" xfId="1" xr:uid="{00000000-0005-0000-0000-000000000000}"/>
    <cellStyle name="20% - Accent1 2 10" xfId="2" xr:uid="{00000000-0005-0000-0000-000001000000}"/>
    <cellStyle name="20% - Accent1 2 11" xfId="3" xr:uid="{00000000-0005-0000-0000-000002000000}"/>
    <cellStyle name="20% - Accent1 2 12" xfId="4" xr:uid="{00000000-0005-0000-0000-000003000000}"/>
    <cellStyle name="20% - Accent1 2 13" xfId="5" xr:uid="{00000000-0005-0000-0000-000004000000}"/>
    <cellStyle name="20% - Accent1 2 14" xfId="6" xr:uid="{00000000-0005-0000-0000-000005000000}"/>
    <cellStyle name="20% - Accent1 2 15" xfId="7" xr:uid="{00000000-0005-0000-0000-000006000000}"/>
    <cellStyle name="20% - Accent1 2 2" xfId="8" xr:uid="{00000000-0005-0000-0000-000007000000}"/>
    <cellStyle name="20% - Accent1 2 3" xfId="9" xr:uid="{00000000-0005-0000-0000-000008000000}"/>
    <cellStyle name="20% - Accent1 2 4" xfId="10" xr:uid="{00000000-0005-0000-0000-000009000000}"/>
    <cellStyle name="20% - Accent1 2 5" xfId="11" xr:uid="{00000000-0005-0000-0000-00000A000000}"/>
    <cellStyle name="20% - Accent1 2 6" xfId="12" xr:uid="{00000000-0005-0000-0000-00000B000000}"/>
    <cellStyle name="20% - Accent1 2 7" xfId="13" xr:uid="{00000000-0005-0000-0000-00000C000000}"/>
    <cellStyle name="20% - Accent1 2 8" xfId="14" xr:uid="{00000000-0005-0000-0000-00000D000000}"/>
    <cellStyle name="20% - Accent1 2 9" xfId="15" xr:uid="{00000000-0005-0000-0000-00000E000000}"/>
    <cellStyle name="20% - Accent1 3" xfId="16" xr:uid="{00000000-0005-0000-0000-00000F000000}"/>
    <cellStyle name="20% - Accent1 3 2" xfId="17" xr:uid="{00000000-0005-0000-0000-000010000000}"/>
    <cellStyle name="20% - Accent1 4" xfId="18" xr:uid="{00000000-0005-0000-0000-000011000000}"/>
    <cellStyle name="20% - Accent1 5" xfId="19" xr:uid="{00000000-0005-0000-0000-000012000000}"/>
    <cellStyle name="20% - Accent1 6" xfId="20" xr:uid="{00000000-0005-0000-0000-000013000000}"/>
    <cellStyle name="20% - Accent1 7" xfId="21" xr:uid="{00000000-0005-0000-0000-000014000000}"/>
    <cellStyle name="20% - Accent1 8" xfId="22" xr:uid="{00000000-0005-0000-0000-000015000000}"/>
    <cellStyle name="20% - Accent2 2" xfId="23" xr:uid="{00000000-0005-0000-0000-000016000000}"/>
    <cellStyle name="20% - Accent2 2 10" xfId="24" xr:uid="{00000000-0005-0000-0000-000017000000}"/>
    <cellStyle name="20% - Accent2 2 11" xfId="25" xr:uid="{00000000-0005-0000-0000-000018000000}"/>
    <cellStyle name="20% - Accent2 2 12" xfId="26" xr:uid="{00000000-0005-0000-0000-000019000000}"/>
    <cellStyle name="20% - Accent2 2 13" xfId="27" xr:uid="{00000000-0005-0000-0000-00001A000000}"/>
    <cellStyle name="20% - Accent2 2 14" xfId="28" xr:uid="{00000000-0005-0000-0000-00001B000000}"/>
    <cellStyle name="20% - Accent2 2 15" xfId="29" xr:uid="{00000000-0005-0000-0000-00001C000000}"/>
    <cellStyle name="20% - Accent2 2 2" xfId="30" xr:uid="{00000000-0005-0000-0000-00001D000000}"/>
    <cellStyle name="20% - Accent2 2 3" xfId="31" xr:uid="{00000000-0005-0000-0000-00001E000000}"/>
    <cellStyle name="20% - Accent2 2 4" xfId="32" xr:uid="{00000000-0005-0000-0000-00001F000000}"/>
    <cellStyle name="20% - Accent2 2 5" xfId="33" xr:uid="{00000000-0005-0000-0000-000020000000}"/>
    <cellStyle name="20% - Accent2 2 6" xfId="34" xr:uid="{00000000-0005-0000-0000-000021000000}"/>
    <cellStyle name="20% - Accent2 2 7" xfId="35" xr:uid="{00000000-0005-0000-0000-000022000000}"/>
    <cellStyle name="20% - Accent2 2 8" xfId="36" xr:uid="{00000000-0005-0000-0000-000023000000}"/>
    <cellStyle name="20% - Accent2 2 9" xfId="37" xr:uid="{00000000-0005-0000-0000-000024000000}"/>
    <cellStyle name="20% - Accent2 3" xfId="38" xr:uid="{00000000-0005-0000-0000-000025000000}"/>
    <cellStyle name="20% - Accent2 3 2" xfId="39" xr:uid="{00000000-0005-0000-0000-000026000000}"/>
    <cellStyle name="20% - Accent2 4" xfId="40" xr:uid="{00000000-0005-0000-0000-000027000000}"/>
    <cellStyle name="20% - Accent2 5" xfId="41" xr:uid="{00000000-0005-0000-0000-000028000000}"/>
    <cellStyle name="20% - Accent2 6" xfId="42" xr:uid="{00000000-0005-0000-0000-000029000000}"/>
    <cellStyle name="20% - Accent2 7" xfId="43" xr:uid="{00000000-0005-0000-0000-00002A000000}"/>
    <cellStyle name="20% - Accent2 8" xfId="44" xr:uid="{00000000-0005-0000-0000-00002B000000}"/>
    <cellStyle name="20% - Accent3 2" xfId="45" xr:uid="{00000000-0005-0000-0000-00002C000000}"/>
    <cellStyle name="20% - Accent3 2 10" xfId="46" xr:uid="{00000000-0005-0000-0000-00002D000000}"/>
    <cellStyle name="20% - Accent3 2 11" xfId="47" xr:uid="{00000000-0005-0000-0000-00002E000000}"/>
    <cellStyle name="20% - Accent3 2 12" xfId="48" xr:uid="{00000000-0005-0000-0000-00002F000000}"/>
    <cellStyle name="20% - Accent3 2 13" xfId="49" xr:uid="{00000000-0005-0000-0000-000030000000}"/>
    <cellStyle name="20% - Accent3 2 14" xfId="50" xr:uid="{00000000-0005-0000-0000-000031000000}"/>
    <cellStyle name="20% - Accent3 2 15" xfId="51" xr:uid="{00000000-0005-0000-0000-000032000000}"/>
    <cellStyle name="20% - Accent3 2 2" xfId="52" xr:uid="{00000000-0005-0000-0000-000033000000}"/>
    <cellStyle name="20% - Accent3 2 3" xfId="53" xr:uid="{00000000-0005-0000-0000-000034000000}"/>
    <cellStyle name="20% - Accent3 2 4" xfId="54" xr:uid="{00000000-0005-0000-0000-000035000000}"/>
    <cellStyle name="20% - Accent3 2 5" xfId="55" xr:uid="{00000000-0005-0000-0000-000036000000}"/>
    <cellStyle name="20% - Accent3 2 6" xfId="56" xr:uid="{00000000-0005-0000-0000-000037000000}"/>
    <cellStyle name="20% - Accent3 2 7" xfId="57" xr:uid="{00000000-0005-0000-0000-000038000000}"/>
    <cellStyle name="20% - Accent3 2 8" xfId="58" xr:uid="{00000000-0005-0000-0000-000039000000}"/>
    <cellStyle name="20% - Accent3 2 9" xfId="59" xr:uid="{00000000-0005-0000-0000-00003A000000}"/>
    <cellStyle name="20% - Accent3 3" xfId="60" xr:uid="{00000000-0005-0000-0000-00003B000000}"/>
    <cellStyle name="20% - Accent3 3 2" xfId="61" xr:uid="{00000000-0005-0000-0000-00003C000000}"/>
    <cellStyle name="20% - Accent3 4" xfId="62" xr:uid="{00000000-0005-0000-0000-00003D000000}"/>
    <cellStyle name="20% - Accent3 5" xfId="63" xr:uid="{00000000-0005-0000-0000-00003E000000}"/>
    <cellStyle name="20% - Accent3 6" xfId="64" xr:uid="{00000000-0005-0000-0000-00003F000000}"/>
    <cellStyle name="20% - Accent3 7" xfId="65" xr:uid="{00000000-0005-0000-0000-000040000000}"/>
    <cellStyle name="20% - Accent3 8" xfId="66" xr:uid="{00000000-0005-0000-0000-000041000000}"/>
    <cellStyle name="20% - Accent4 2" xfId="67" xr:uid="{00000000-0005-0000-0000-000042000000}"/>
    <cellStyle name="20% - Accent4 2 10" xfId="68" xr:uid="{00000000-0005-0000-0000-000043000000}"/>
    <cellStyle name="20% - Accent4 2 11" xfId="69" xr:uid="{00000000-0005-0000-0000-000044000000}"/>
    <cellStyle name="20% - Accent4 2 12" xfId="70" xr:uid="{00000000-0005-0000-0000-000045000000}"/>
    <cellStyle name="20% - Accent4 2 13" xfId="71" xr:uid="{00000000-0005-0000-0000-000046000000}"/>
    <cellStyle name="20% - Accent4 2 14" xfId="72" xr:uid="{00000000-0005-0000-0000-000047000000}"/>
    <cellStyle name="20% - Accent4 2 15" xfId="73" xr:uid="{00000000-0005-0000-0000-000048000000}"/>
    <cellStyle name="20% - Accent4 2 2" xfId="74" xr:uid="{00000000-0005-0000-0000-000049000000}"/>
    <cellStyle name="20% - Accent4 2 3" xfId="75" xr:uid="{00000000-0005-0000-0000-00004A000000}"/>
    <cellStyle name="20% - Accent4 2 4" xfId="76" xr:uid="{00000000-0005-0000-0000-00004B000000}"/>
    <cellStyle name="20% - Accent4 2 5" xfId="77" xr:uid="{00000000-0005-0000-0000-00004C000000}"/>
    <cellStyle name="20% - Accent4 2 6" xfId="78" xr:uid="{00000000-0005-0000-0000-00004D000000}"/>
    <cellStyle name="20% - Accent4 2 7" xfId="79" xr:uid="{00000000-0005-0000-0000-00004E000000}"/>
    <cellStyle name="20% - Accent4 2 8" xfId="80" xr:uid="{00000000-0005-0000-0000-00004F000000}"/>
    <cellStyle name="20% - Accent4 2 9" xfId="81" xr:uid="{00000000-0005-0000-0000-000050000000}"/>
    <cellStyle name="20% - Accent4 3" xfId="82" xr:uid="{00000000-0005-0000-0000-000051000000}"/>
    <cellStyle name="20% - Accent4 3 2" xfId="83" xr:uid="{00000000-0005-0000-0000-000052000000}"/>
    <cellStyle name="20% - Accent4 4" xfId="84" xr:uid="{00000000-0005-0000-0000-000053000000}"/>
    <cellStyle name="20% - Accent4 5" xfId="85" xr:uid="{00000000-0005-0000-0000-000054000000}"/>
    <cellStyle name="20% - Accent4 6" xfId="86" xr:uid="{00000000-0005-0000-0000-000055000000}"/>
    <cellStyle name="20% - Accent4 7" xfId="87" xr:uid="{00000000-0005-0000-0000-000056000000}"/>
    <cellStyle name="20% - Accent4 8" xfId="88" xr:uid="{00000000-0005-0000-0000-000057000000}"/>
    <cellStyle name="20% - Accent5 2" xfId="89" xr:uid="{00000000-0005-0000-0000-000058000000}"/>
    <cellStyle name="20% - Accent5 2 10" xfId="90" xr:uid="{00000000-0005-0000-0000-000059000000}"/>
    <cellStyle name="20% - Accent5 2 11" xfId="91" xr:uid="{00000000-0005-0000-0000-00005A000000}"/>
    <cellStyle name="20% - Accent5 2 12" xfId="92" xr:uid="{00000000-0005-0000-0000-00005B000000}"/>
    <cellStyle name="20% - Accent5 2 13" xfId="93" xr:uid="{00000000-0005-0000-0000-00005C000000}"/>
    <cellStyle name="20% - Accent5 2 14" xfId="94" xr:uid="{00000000-0005-0000-0000-00005D000000}"/>
    <cellStyle name="20% - Accent5 2 15" xfId="95" xr:uid="{00000000-0005-0000-0000-00005E000000}"/>
    <cellStyle name="20% - Accent5 2 2" xfId="96" xr:uid="{00000000-0005-0000-0000-00005F000000}"/>
    <cellStyle name="20% - Accent5 2 3" xfId="97" xr:uid="{00000000-0005-0000-0000-000060000000}"/>
    <cellStyle name="20% - Accent5 2 4" xfId="98" xr:uid="{00000000-0005-0000-0000-000061000000}"/>
    <cellStyle name="20% - Accent5 2 5" xfId="99" xr:uid="{00000000-0005-0000-0000-000062000000}"/>
    <cellStyle name="20% - Accent5 2 6" xfId="100" xr:uid="{00000000-0005-0000-0000-000063000000}"/>
    <cellStyle name="20% - Accent5 2 7" xfId="101" xr:uid="{00000000-0005-0000-0000-000064000000}"/>
    <cellStyle name="20% - Accent5 2 8" xfId="102" xr:uid="{00000000-0005-0000-0000-000065000000}"/>
    <cellStyle name="20% - Accent5 2 9" xfId="103" xr:uid="{00000000-0005-0000-0000-000066000000}"/>
    <cellStyle name="20% - Accent5 3" xfId="104" xr:uid="{00000000-0005-0000-0000-000067000000}"/>
    <cellStyle name="20% - Accent5 4" xfId="105" xr:uid="{00000000-0005-0000-0000-000068000000}"/>
    <cellStyle name="20% - Accent5 5" xfId="106" xr:uid="{00000000-0005-0000-0000-000069000000}"/>
    <cellStyle name="20% - Accent5 6" xfId="107" xr:uid="{00000000-0005-0000-0000-00006A000000}"/>
    <cellStyle name="20% - Accent5 7" xfId="108" xr:uid="{00000000-0005-0000-0000-00006B000000}"/>
    <cellStyle name="20% - Accent5 8" xfId="109" xr:uid="{00000000-0005-0000-0000-00006C000000}"/>
    <cellStyle name="20% - Accent6 2" xfId="110" xr:uid="{00000000-0005-0000-0000-00006D000000}"/>
    <cellStyle name="20% - Accent6 2 10" xfId="111" xr:uid="{00000000-0005-0000-0000-00006E000000}"/>
    <cellStyle name="20% - Accent6 2 11" xfId="112" xr:uid="{00000000-0005-0000-0000-00006F000000}"/>
    <cellStyle name="20% - Accent6 2 12" xfId="113" xr:uid="{00000000-0005-0000-0000-000070000000}"/>
    <cellStyle name="20% - Accent6 2 13" xfId="114" xr:uid="{00000000-0005-0000-0000-000071000000}"/>
    <cellStyle name="20% - Accent6 2 14" xfId="115" xr:uid="{00000000-0005-0000-0000-000072000000}"/>
    <cellStyle name="20% - Accent6 2 15" xfId="116" xr:uid="{00000000-0005-0000-0000-000073000000}"/>
    <cellStyle name="20% - Accent6 2 2" xfId="117" xr:uid="{00000000-0005-0000-0000-000074000000}"/>
    <cellStyle name="20% - Accent6 2 3" xfId="118" xr:uid="{00000000-0005-0000-0000-000075000000}"/>
    <cellStyle name="20% - Accent6 2 4" xfId="119" xr:uid="{00000000-0005-0000-0000-000076000000}"/>
    <cellStyle name="20% - Accent6 2 5" xfId="120" xr:uid="{00000000-0005-0000-0000-000077000000}"/>
    <cellStyle name="20% - Accent6 2 6" xfId="121" xr:uid="{00000000-0005-0000-0000-000078000000}"/>
    <cellStyle name="20% - Accent6 2 7" xfId="122" xr:uid="{00000000-0005-0000-0000-000079000000}"/>
    <cellStyle name="20% - Accent6 2 8" xfId="123" xr:uid="{00000000-0005-0000-0000-00007A000000}"/>
    <cellStyle name="20% - Accent6 2 9" xfId="124" xr:uid="{00000000-0005-0000-0000-00007B000000}"/>
    <cellStyle name="20% - Accent6 3" xfId="125" xr:uid="{00000000-0005-0000-0000-00007C000000}"/>
    <cellStyle name="20% - Accent6 3 2" xfId="126" xr:uid="{00000000-0005-0000-0000-00007D000000}"/>
    <cellStyle name="20% - Accent6 4" xfId="127" xr:uid="{00000000-0005-0000-0000-00007E000000}"/>
    <cellStyle name="20% - Accent6 5" xfId="128" xr:uid="{00000000-0005-0000-0000-00007F000000}"/>
    <cellStyle name="20% - Accent6 6" xfId="129" xr:uid="{00000000-0005-0000-0000-000080000000}"/>
    <cellStyle name="20% - Accent6 7" xfId="130" xr:uid="{00000000-0005-0000-0000-000081000000}"/>
    <cellStyle name="20% - Accent6 8" xfId="131" xr:uid="{00000000-0005-0000-0000-000082000000}"/>
    <cellStyle name="40% - Accent1 2" xfId="132" xr:uid="{00000000-0005-0000-0000-000083000000}"/>
    <cellStyle name="40% - Accent1 2 10" xfId="133" xr:uid="{00000000-0005-0000-0000-000084000000}"/>
    <cellStyle name="40% - Accent1 2 11" xfId="134" xr:uid="{00000000-0005-0000-0000-000085000000}"/>
    <cellStyle name="40% - Accent1 2 12" xfId="135" xr:uid="{00000000-0005-0000-0000-000086000000}"/>
    <cellStyle name="40% - Accent1 2 13" xfId="136" xr:uid="{00000000-0005-0000-0000-000087000000}"/>
    <cellStyle name="40% - Accent1 2 14" xfId="137" xr:uid="{00000000-0005-0000-0000-000088000000}"/>
    <cellStyle name="40% - Accent1 2 15" xfId="138" xr:uid="{00000000-0005-0000-0000-000089000000}"/>
    <cellStyle name="40% - Accent1 2 2" xfId="139" xr:uid="{00000000-0005-0000-0000-00008A000000}"/>
    <cellStyle name="40% - Accent1 2 3" xfId="140" xr:uid="{00000000-0005-0000-0000-00008B000000}"/>
    <cellStyle name="40% - Accent1 2 4" xfId="141" xr:uid="{00000000-0005-0000-0000-00008C000000}"/>
    <cellStyle name="40% - Accent1 2 5" xfId="142" xr:uid="{00000000-0005-0000-0000-00008D000000}"/>
    <cellStyle name="40% - Accent1 2 6" xfId="143" xr:uid="{00000000-0005-0000-0000-00008E000000}"/>
    <cellStyle name="40% - Accent1 2 7" xfId="144" xr:uid="{00000000-0005-0000-0000-00008F000000}"/>
    <cellStyle name="40% - Accent1 2 8" xfId="145" xr:uid="{00000000-0005-0000-0000-000090000000}"/>
    <cellStyle name="40% - Accent1 2 9" xfId="146" xr:uid="{00000000-0005-0000-0000-000091000000}"/>
    <cellStyle name="40% - Accent1 3" xfId="147" xr:uid="{00000000-0005-0000-0000-000092000000}"/>
    <cellStyle name="40% - Accent1 3 2" xfId="148" xr:uid="{00000000-0005-0000-0000-000093000000}"/>
    <cellStyle name="40% - Accent1 4" xfId="149" xr:uid="{00000000-0005-0000-0000-000094000000}"/>
    <cellStyle name="40% - Accent1 5" xfId="150" xr:uid="{00000000-0005-0000-0000-000095000000}"/>
    <cellStyle name="40% - Accent1 6" xfId="151" xr:uid="{00000000-0005-0000-0000-000096000000}"/>
    <cellStyle name="40% - Accent1 7" xfId="152" xr:uid="{00000000-0005-0000-0000-000097000000}"/>
    <cellStyle name="40% - Accent1 8" xfId="153" xr:uid="{00000000-0005-0000-0000-000098000000}"/>
    <cellStyle name="40% - Accent2 2" xfId="154" xr:uid="{00000000-0005-0000-0000-000099000000}"/>
    <cellStyle name="40% - Accent2 2 10" xfId="155" xr:uid="{00000000-0005-0000-0000-00009A000000}"/>
    <cellStyle name="40% - Accent2 2 11" xfId="156" xr:uid="{00000000-0005-0000-0000-00009B000000}"/>
    <cellStyle name="40% - Accent2 2 12" xfId="157" xr:uid="{00000000-0005-0000-0000-00009C000000}"/>
    <cellStyle name="40% - Accent2 2 13" xfId="158" xr:uid="{00000000-0005-0000-0000-00009D000000}"/>
    <cellStyle name="40% - Accent2 2 14" xfId="159" xr:uid="{00000000-0005-0000-0000-00009E000000}"/>
    <cellStyle name="40% - Accent2 2 15" xfId="160" xr:uid="{00000000-0005-0000-0000-00009F000000}"/>
    <cellStyle name="40% - Accent2 2 2" xfId="161" xr:uid="{00000000-0005-0000-0000-0000A0000000}"/>
    <cellStyle name="40% - Accent2 2 3" xfId="162" xr:uid="{00000000-0005-0000-0000-0000A1000000}"/>
    <cellStyle name="40% - Accent2 2 4" xfId="163" xr:uid="{00000000-0005-0000-0000-0000A2000000}"/>
    <cellStyle name="40% - Accent2 2 5" xfId="164" xr:uid="{00000000-0005-0000-0000-0000A3000000}"/>
    <cellStyle name="40% - Accent2 2 6" xfId="165" xr:uid="{00000000-0005-0000-0000-0000A4000000}"/>
    <cellStyle name="40% - Accent2 2 7" xfId="166" xr:uid="{00000000-0005-0000-0000-0000A5000000}"/>
    <cellStyle name="40% - Accent2 2 8" xfId="167" xr:uid="{00000000-0005-0000-0000-0000A6000000}"/>
    <cellStyle name="40% - Accent2 2 9" xfId="168" xr:uid="{00000000-0005-0000-0000-0000A7000000}"/>
    <cellStyle name="40% - Accent2 3" xfId="169" xr:uid="{00000000-0005-0000-0000-0000A8000000}"/>
    <cellStyle name="40% - Accent2 4" xfId="170" xr:uid="{00000000-0005-0000-0000-0000A9000000}"/>
    <cellStyle name="40% - Accent2 5" xfId="171" xr:uid="{00000000-0005-0000-0000-0000AA000000}"/>
    <cellStyle name="40% - Accent2 6" xfId="172" xr:uid="{00000000-0005-0000-0000-0000AB000000}"/>
    <cellStyle name="40% - Accent2 7" xfId="173" xr:uid="{00000000-0005-0000-0000-0000AC000000}"/>
    <cellStyle name="40% - Accent2 8" xfId="174" xr:uid="{00000000-0005-0000-0000-0000AD000000}"/>
    <cellStyle name="40% - Accent3 2" xfId="175" xr:uid="{00000000-0005-0000-0000-0000AE000000}"/>
    <cellStyle name="40% - Accent3 2 10" xfId="176" xr:uid="{00000000-0005-0000-0000-0000AF000000}"/>
    <cellStyle name="40% - Accent3 2 11" xfId="177" xr:uid="{00000000-0005-0000-0000-0000B0000000}"/>
    <cellStyle name="40% - Accent3 2 12" xfId="178" xr:uid="{00000000-0005-0000-0000-0000B1000000}"/>
    <cellStyle name="40% - Accent3 2 13" xfId="179" xr:uid="{00000000-0005-0000-0000-0000B2000000}"/>
    <cellStyle name="40% - Accent3 2 14" xfId="180" xr:uid="{00000000-0005-0000-0000-0000B3000000}"/>
    <cellStyle name="40% - Accent3 2 15" xfId="181" xr:uid="{00000000-0005-0000-0000-0000B4000000}"/>
    <cellStyle name="40% - Accent3 2 2" xfId="182" xr:uid="{00000000-0005-0000-0000-0000B5000000}"/>
    <cellStyle name="40% - Accent3 2 3" xfId="183" xr:uid="{00000000-0005-0000-0000-0000B6000000}"/>
    <cellStyle name="40% - Accent3 2 4" xfId="184" xr:uid="{00000000-0005-0000-0000-0000B7000000}"/>
    <cellStyle name="40% - Accent3 2 5" xfId="185" xr:uid="{00000000-0005-0000-0000-0000B8000000}"/>
    <cellStyle name="40% - Accent3 2 6" xfId="186" xr:uid="{00000000-0005-0000-0000-0000B9000000}"/>
    <cellStyle name="40% - Accent3 2 7" xfId="187" xr:uid="{00000000-0005-0000-0000-0000BA000000}"/>
    <cellStyle name="40% - Accent3 2 8" xfId="188" xr:uid="{00000000-0005-0000-0000-0000BB000000}"/>
    <cellStyle name="40% - Accent3 2 9" xfId="189" xr:uid="{00000000-0005-0000-0000-0000BC000000}"/>
    <cellStyle name="40% - Accent3 3" xfId="190" xr:uid="{00000000-0005-0000-0000-0000BD000000}"/>
    <cellStyle name="40% - Accent3 3 2" xfId="191" xr:uid="{00000000-0005-0000-0000-0000BE000000}"/>
    <cellStyle name="40% - Accent3 4" xfId="192" xr:uid="{00000000-0005-0000-0000-0000BF000000}"/>
    <cellStyle name="40% - Accent3 5" xfId="193" xr:uid="{00000000-0005-0000-0000-0000C0000000}"/>
    <cellStyle name="40% - Accent3 6" xfId="194" xr:uid="{00000000-0005-0000-0000-0000C1000000}"/>
    <cellStyle name="40% - Accent3 7" xfId="195" xr:uid="{00000000-0005-0000-0000-0000C2000000}"/>
    <cellStyle name="40% - Accent3 8" xfId="196" xr:uid="{00000000-0005-0000-0000-0000C3000000}"/>
    <cellStyle name="40% - Accent4 2" xfId="197" xr:uid="{00000000-0005-0000-0000-0000C4000000}"/>
    <cellStyle name="40% - Accent4 2 10" xfId="198" xr:uid="{00000000-0005-0000-0000-0000C5000000}"/>
    <cellStyle name="40% - Accent4 2 11" xfId="199" xr:uid="{00000000-0005-0000-0000-0000C6000000}"/>
    <cellStyle name="40% - Accent4 2 12" xfId="200" xr:uid="{00000000-0005-0000-0000-0000C7000000}"/>
    <cellStyle name="40% - Accent4 2 13" xfId="201" xr:uid="{00000000-0005-0000-0000-0000C8000000}"/>
    <cellStyle name="40% - Accent4 2 14" xfId="202" xr:uid="{00000000-0005-0000-0000-0000C9000000}"/>
    <cellStyle name="40% - Accent4 2 15" xfId="203" xr:uid="{00000000-0005-0000-0000-0000CA000000}"/>
    <cellStyle name="40% - Accent4 2 2" xfId="204" xr:uid="{00000000-0005-0000-0000-0000CB000000}"/>
    <cellStyle name="40% - Accent4 2 3" xfId="205" xr:uid="{00000000-0005-0000-0000-0000CC000000}"/>
    <cellStyle name="40% - Accent4 2 4" xfId="206" xr:uid="{00000000-0005-0000-0000-0000CD000000}"/>
    <cellStyle name="40% - Accent4 2 5" xfId="207" xr:uid="{00000000-0005-0000-0000-0000CE000000}"/>
    <cellStyle name="40% - Accent4 2 6" xfId="208" xr:uid="{00000000-0005-0000-0000-0000CF000000}"/>
    <cellStyle name="40% - Accent4 2 7" xfId="209" xr:uid="{00000000-0005-0000-0000-0000D0000000}"/>
    <cellStyle name="40% - Accent4 2 8" xfId="210" xr:uid="{00000000-0005-0000-0000-0000D1000000}"/>
    <cellStyle name="40% - Accent4 2 9" xfId="211" xr:uid="{00000000-0005-0000-0000-0000D2000000}"/>
    <cellStyle name="40% - Accent4 3" xfId="212" xr:uid="{00000000-0005-0000-0000-0000D3000000}"/>
    <cellStyle name="40% - Accent4 3 2" xfId="213" xr:uid="{00000000-0005-0000-0000-0000D4000000}"/>
    <cellStyle name="40% - Accent4 4" xfId="214" xr:uid="{00000000-0005-0000-0000-0000D5000000}"/>
    <cellStyle name="40% - Accent4 5" xfId="215" xr:uid="{00000000-0005-0000-0000-0000D6000000}"/>
    <cellStyle name="40% - Accent4 6" xfId="216" xr:uid="{00000000-0005-0000-0000-0000D7000000}"/>
    <cellStyle name="40% - Accent4 7" xfId="217" xr:uid="{00000000-0005-0000-0000-0000D8000000}"/>
    <cellStyle name="40% - Accent4 8" xfId="218" xr:uid="{00000000-0005-0000-0000-0000D9000000}"/>
    <cellStyle name="40% - Accent5 2" xfId="219" xr:uid="{00000000-0005-0000-0000-0000DA000000}"/>
    <cellStyle name="40% - Accent5 2 10" xfId="220" xr:uid="{00000000-0005-0000-0000-0000DB000000}"/>
    <cellStyle name="40% - Accent5 2 11" xfId="221" xr:uid="{00000000-0005-0000-0000-0000DC000000}"/>
    <cellStyle name="40% - Accent5 2 12" xfId="222" xr:uid="{00000000-0005-0000-0000-0000DD000000}"/>
    <cellStyle name="40% - Accent5 2 13" xfId="223" xr:uid="{00000000-0005-0000-0000-0000DE000000}"/>
    <cellStyle name="40% - Accent5 2 14" xfId="224" xr:uid="{00000000-0005-0000-0000-0000DF000000}"/>
    <cellStyle name="40% - Accent5 2 15" xfId="225" xr:uid="{00000000-0005-0000-0000-0000E0000000}"/>
    <cellStyle name="40% - Accent5 2 2" xfId="226" xr:uid="{00000000-0005-0000-0000-0000E1000000}"/>
    <cellStyle name="40% - Accent5 2 3" xfId="227" xr:uid="{00000000-0005-0000-0000-0000E2000000}"/>
    <cellStyle name="40% - Accent5 2 4" xfId="228" xr:uid="{00000000-0005-0000-0000-0000E3000000}"/>
    <cellStyle name="40% - Accent5 2 5" xfId="229" xr:uid="{00000000-0005-0000-0000-0000E4000000}"/>
    <cellStyle name="40% - Accent5 2 6" xfId="230" xr:uid="{00000000-0005-0000-0000-0000E5000000}"/>
    <cellStyle name="40% - Accent5 2 7" xfId="231" xr:uid="{00000000-0005-0000-0000-0000E6000000}"/>
    <cellStyle name="40% - Accent5 2 8" xfId="232" xr:uid="{00000000-0005-0000-0000-0000E7000000}"/>
    <cellStyle name="40% - Accent5 2 9" xfId="233" xr:uid="{00000000-0005-0000-0000-0000E8000000}"/>
    <cellStyle name="40% - Accent5 3" xfId="234" xr:uid="{00000000-0005-0000-0000-0000E9000000}"/>
    <cellStyle name="40% - Accent5 3 2" xfId="235" xr:uid="{00000000-0005-0000-0000-0000EA000000}"/>
    <cellStyle name="40% - Accent5 4" xfId="236" xr:uid="{00000000-0005-0000-0000-0000EB000000}"/>
    <cellStyle name="40% - Accent5 5" xfId="237" xr:uid="{00000000-0005-0000-0000-0000EC000000}"/>
    <cellStyle name="40% - Accent5 6" xfId="238" xr:uid="{00000000-0005-0000-0000-0000ED000000}"/>
    <cellStyle name="40% - Accent5 7" xfId="239" xr:uid="{00000000-0005-0000-0000-0000EE000000}"/>
    <cellStyle name="40% - Accent5 8" xfId="240" xr:uid="{00000000-0005-0000-0000-0000EF000000}"/>
    <cellStyle name="40% - Accent6 2" xfId="241" xr:uid="{00000000-0005-0000-0000-0000F0000000}"/>
    <cellStyle name="40% - Accent6 2 10" xfId="242" xr:uid="{00000000-0005-0000-0000-0000F1000000}"/>
    <cellStyle name="40% - Accent6 2 11" xfId="243" xr:uid="{00000000-0005-0000-0000-0000F2000000}"/>
    <cellStyle name="40% - Accent6 2 12" xfId="244" xr:uid="{00000000-0005-0000-0000-0000F3000000}"/>
    <cellStyle name="40% - Accent6 2 13" xfId="245" xr:uid="{00000000-0005-0000-0000-0000F4000000}"/>
    <cellStyle name="40% - Accent6 2 14" xfId="246" xr:uid="{00000000-0005-0000-0000-0000F5000000}"/>
    <cellStyle name="40% - Accent6 2 15" xfId="247" xr:uid="{00000000-0005-0000-0000-0000F6000000}"/>
    <cellStyle name="40% - Accent6 2 2" xfId="248" xr:uid="{00000000-0005-0000-0000-0000F7000000}"/>
    <cellStyle name="40% - Accent6 2 3" xfId="249" xr:uid="{00000000-0005-0000-0000-0000F8000000}"/>
    <cellStyle name="40% - Accent6 2 4" xfId="250" xr:uid="{00000000-0005-0000-0000-0000F9000000}"/>
    <cellStyle name="40% - Accent6 2 5" xfId="251" xr:uid="{00000000-0005-0000-0000-0000FA000000}"/>
    <cellStyle name="40% - Accent6 2 6" xfId="252" xr:uid="{00000000-0005-0000-0000-0000FB000000}"/>
    <cellStyle name="40% - Accent6 2 7" xfId="253" xr:uid="{00000000-0005-0000-0000-0000FC000000}"/>
    <cellStyle name="40% - Accent6 2 8" xfId="254" xr:uid="{00000000-0005-0000-0000-0000FD000000}"/>
    <cellStyle name="40% - Accent6 2 9" xfId="255" xr:uid="{00000000-0005-0000-0000-0000FE000000}"/>
    <cellStyle name="40% - Accent6 3" xfId="256" xr:uid="{00000000-0005-0000-0000-0000FF000000}"/>
    <cellStyle name="40% - Accent6 3 2" xfId="257" xr:uid="{00000000-0005-0000-0000-000000010000}"/>
    <cellStyle name="40% - Accent6 4" xfId="258" xr:uid="{00000000-0005-0000-0000-000001010000}"/>
    <cellStyle name="40% - Accent6 5" xfId="259" xr:uid="{00000000-0005-0000-0000-000002010000}"/>
    <cellStyle name="40% - Accent6 6" xfId="260" xr:uid="{00000000-0005-0000-0000-000003010000}"/>
    <cellStyle name="40% - Accent6 7" xfId="261" xr:uid="{00000000-0005-0000-0000-000004010000}"/>
    <cellStyle name="40% - Accent6 8" xfId="262" xr:uid="{00000000-0005-0000-0000-000005010000}"/>
    <cellStyle name="5x indented GHG Textfiels" xfId="263" xr:uid="{00000000-0005-0000-0000-000006010000}"/>
    <cellStyle name="5x indented GHG Textfiels 2" xfId="264" xr:uid="{00000000-0005-0000-0000-000007010000}"/>
    <cellStyle name="5x indented GHG Textfiels 2 2" xfId="1751" xr:uid="{00000000-0005-0000-0000-000008010000}"/>
    <cellStyle name="5x indented GHG Textfiels 3" xfId="1750" xr:uid="{00000000-0005-0000-0000-000009010000}"/>
    <cellStyle name="60% - Accent1 2" xfId="265" xr:uid="{00000000-0005-0000-0000-00000A010000}"/>
    <cellStyle name="60% - Accent1 2 10" xfId="266" xr:uid="{00000000-0005-0000-0000-00000B010000}"/>
    <cellStyle name="60% - Accent1 2 2" xfId="267" xr:uid="{00000000-0005-0000-0000-00000C010000}"/>
    <cellStyle name="60% - Accent1 2 3" xfId="268" xr:uid="{00000000-0005-0000-0000-00000D010000}"/>
    <cellStyle name="60% - Accent1 2 4" xfId="269" xr:uid="{00000000-0005-0000-0000-00000E010000}"/>
    <cellStyle name="60% - Accent1 2 5" xfId="270" xr:uid="{00000000-0005-0000-0000-00000F010000}"/>
    <cellStyle name="60% - Accent1 2 6" xfId="271" xr:uid="{00000000-0005-0000-0000-000010010000}"/>
    <cellStyle name="60% - Accent1 2 7" xfId="272" xr:uid="{00000000-0005-0000-0000-000011010000}"/>
    <cellStyle name="60% - Accent1 2 8" xfId="273" xr:uid="{00000000-0005-0000-0000-000012010000}"/>
    <cellStyle name="60% - Accent1 2 9" xfId="274" xr:uid="{00000000-0005-0000-0000-000013010000}"/>
    <cellStyle name="60% - Accent1 3" xfId="275" xr:uid="{00000000-0005-0000-0000-000014010000}"/>
    <cellStyle name="60% - Accent1 3 2" xfId="276" xr:uid="{00000000-0005-0000-0000-000015010000}"/>
    <cellStyle name="60% - Accent2 2" xfId="277" xr:uid="{00000000-0005-0000-0000-000016010000}"/>
    <cellStyle name="60% - Accent2 2 10" xfId="278" xr:uid="{00000000-0005-0000-0000-000017010000}"/>
    <cellStyle name="60% - Accent2 2 2" xfId="279" xr:uid="{00000000-0005-0000-0000-000018010000}"/>
    <cellStyle name="60% - Accent2 2 3" xfId="280" xr:uid="{00000000-0005-0000-0000-000019010000}"/>
    <cellStyle name="60% - Accent2 2 4" xfId="281" xr:uid="{00000000-0005-0000-0000-00001A010000}"/>
    <cellStyle name="60% - Accent2 2 5" xfId="282" xr:uid="{00000000-0005-0000-0000-00001B010000}"/>
    <cellStyle name="60% - Accent2 2 6" xfId="283" xr:uid="{00000000-0005-0000-0000-00001C010000}"/>
    <cellStyle name="60% - Accent2 2 7" xfId="284" xr:uid="{00000000-0005-0000-0000-00001D010000}"/>
    <cellStyle name="60% - Accent2 2 8" xfId="285" xr:uid="{00000000-0005-0000-0000-00001E010000}"/>
    <cellStyle name="60% - Accent2 2 9" xfId="286" xr:uid="{00000000-0005-0000-0000-00001F010000}"/>
    <cellStyle name="60% - Accent2 3" xfId="287" xr:uid="{00000000-0005-0000-0000-000020010000}"/>
    <cellStyle name="60% - Accent2 3 2" xfId="288" xr:uid="{00000000-0005-0000-0000-000021010000}"/>
    <cellStyle name="60% - Accent3 2" xfId="289" xr:uid="{00000000-0005-0000-0000-000022010000}"/>
    <cellStyle name="60% - Accent3 2 10" xfId="290" xr:uid="{00000000-0005-0000-0000-000023010000}"/>
    <cellStyle name="60% - Accent3 2 2" xfId="291" xr:uid="{00000000-0005-0000-0000-000024010000}"/>
    <cellStyle name="60% - Accent3 2 3" xfId="292" xr:uid="{00000000-0005-0000-0000-000025010000}"/>
    <cellStyle name="60% - Accent3 2 4" xfId="293" xr:uid="{00000000-0005-0000-0000-000026010000}"/>
    <cellStyle name="60% - Accent3 2 5" xfId="294" xr:uid="{00000000-0005-0000-0000-000027010000}"/>
    <cellStyle name="60% - Accent3 2 6" xfId="295" xr:uid="{00000000-0005-0000-0000-000028010000}"/>
    <cellStyle name="60% - Accent3 2 7" xfId="296" xr:uid="{00000000-0005-0000-0000-000029010000}"/>
    <cellStyle name="60% - Accent3 2 8" xfId="297" xr:uid="{00000000-0005-0000-0000-00002A010000}"/>
    <cellStyle name="60% - Accent3 2 9" xfId="298" xr:uid="{00000000-0005-0000-0000-00002B010000}"/>
    <cellStyle name="60% - Accent3 3" xfId="299" xr:uid="{00000000-0005-0000-0000-00002C010000}"/>
    <cellStyle name="60% - Accent3 3 2" xfId="300" xr:uid="{00000000-0005-0000-0000-00002D010000}"/>
    <cellStyle name="60% - Accent4 2" xfId="301" xr:uid="{00000000-0005-0000-0000-00002E010000}"/>
    <cellStyle name="60% - Accent4 2 10" xfId="302" xr:uid="{00000000-0005-0000-0000-00002F010000}"/>
    <cellStyle name="60% - Accent4 2 2" xfId="303" xr:uid="{00000000-0005-0000-0000-000030010000}"/>
    <cellStyle name="60% - Accent4 2 3" xfId="304" xr:uid="{00000000-0005-0000-0000-000031010000}"/>
    <cellStyle name="60% - Accent4 2 4" xfId="305" xr:uid="{00000000-0005-0000-0000-000032010000}"/>
    <cellStyle name="60% - Accent4 2 5" xfId="306" xr:uid="{00000000-0005-0000-0000-000033010000}"/>
    <cellStyle name="60% - Accent4 2 6" xfId="307" xr:uid="{00000000-0005-0000-0000-000034010000}"/>
    <cellStyle name="60% - Accent4 2 7" xfId="308" xr:uid="{00000000-0005-0000-0000-000035010000}"/>
    <cellStyle name="60% - Accent4 2 8" xfId="309" xr:uid="{00000000-0005-0000-0000-000036010000}"/>
    <cellStyle name="60% - Accent4 2 9" xfId="310" xr:uid="{00000000-0005-0000-0000-000037010000}"/>
    <cellStyle name="60% - Accent4 3" xfId="311" xr:uid="{00000000-0005-0000-0000-000038010000}"/>
    <cellStyle name="60% - Accent4 3 2" xfId="312" xr:uid="{00000000-0005-0000-0000-000039010000}"/>
    <cellStyle name="60% - Accent5 2" xfId="313" xr:uid="{00000000-0005-0000-0000-00003A010000}"/>
    <cellStyle name="60% - Accent5 2 10" xfId="314" xr:uid="{00000000-0005-0000-0000-00003B010000}"/>
    <cellStyle name="60% - Accent5 2 2" xfId="315" xr:uid="{00000000-0005-0000-0000-00003C010000}"/>
    <cellStyle name="60% - Accent5 2 3" xfId="316" xr:uid="{00000000-0005-0000-0000-00003D010000}"/>
    <cellStyle name="60% - Accent5 2 4" xfId="317" xr:uid="{00000000-0005-0000-0000-00003E010000}"/>
    <cellStyle name="60% - Accent5 2 5" xfId="318" xr:uid="{00000000-0005-0000-0000-00003F010000}"/>
    <cellStyle name="60% - Accent5 2 6" xfId="319" xr:uid="{00000000-0005-0000-0000-000040010000}"/>
    <cellStyle name="60% - Accent5 2 7" xfId="320" xr:uid="{00000000-0005-0000-0000-000041010000}"/>
    <cellStyle name="60% - Accent5 2 8" xfId="321" xr:uid="{00000000-0005-0000-0000-000042010000}"/>
    <cellStyle name="60% - Accent5 2 9" xfId="322" xr:uid="{00000000-0005-0000-0000-000043010000}"/>
    <cellStyle name="60% - Accent5 3" xfId="323" xr:uid="{00000000-0005-0000-0000-000044010000}"/>
    <cellStyle name="60% - Accent5 3 2" xfId="324" xr:uid="{00000000-0005-0000-0000-000045010000}"/>
    <cellStyle name="60% - Accent6 2" xfId="325" xr:uid="{00000000-0005-0000-0000-000046010000}"/>
    <cellStyle name="60% - Accent6 2 10" xfId="326" xr:uid="{00000000-0005-0000-0000-000047010000}"/>
    <cellStyle name="60% - Accent6 2 2" xfId="327" xr:uid="{00000000-0005-0000-0000-000048010000}"/>
    <cellStyle name="60% - Accent6 2 3" xfId="328" xr:uid="{00000000-0005-0000-0000-000049010000}"/>
    <cellStyle name="60% - Accent6 2 4" xfId="329" xr:uid="{00000000-0005-0000-0000-00004A010000}"/>
    <cellStyle name="60% - Accent6 2 5" xfId="330" xr:uid="{00000000-0005-0000-0000-00004B010000}"/>
    <cellStyle name="60% - Accent6 2 6" xfId="331" xr:uid="{00000000-0005-0000-0000-00004C010000}"/>
    <cellStyle name="60% - Accent6 2 7" xfId="332" xr:uid="{00000000-0005-0000-0000-00004D010000}"/>
    <cellStyle name="60% - Accent6 2 8" xfId="333" xr:uid="{00000000-0005-0000-0000-00004E010000}"/>
    <cellStyle name="60% - Accent6 2 9" xfId="334" xr:uid="{00000000-0005-0000-0000-00004F010000}"/>
    <cellStyle name="60% - Accent6 3" xfId="335" xr:uid="{00000000-0005-0000-0000-000050010000}"/>
    <cellStyle name="60% - Accent6 3 2" xfId="336" xr:uid="{00000000-0005-0000-0000-000051010000}"/>
    <cellStyle name="Accent1 2" xfId="337" xr:uid="{00000000-0005-0000-0000-000052010000}"/>
    <cellStyle name="Accent1 2 10" xfId="338" xr:uid="{00000000-0005-0000-0000-000053010000}"/>
    <cellStyle name="Accent1 2 2" xfId="339" xr:uid="{00000000-0005-0000-0000-000054010000}"/>
    <cellStyle name="Accent1 2 3" xfId="340" xr:uid="{00000000-0005-0000-0000-000055010000}"/>
    <cellStyle name="Accent1 2 4" xfId="341" xr:uid="{00000000-0005-0000-0000-000056010000}"/>
    <cellStyle name="Accent1 2 5" xfId="342" xr:uid="{00000000-0005-0000-0000-000057010000}"/>
    <cellStyle name="Accent1 2 6" xfId="343" xr:uid="{00000000-0005-0000-0000-000058010000}"/>
    <cellStyle name="Accent1 2 7" xfId="344" xr:uid="{00000000-0005-0000-0000-000059010000}"/>
    <cellStyle name="Accent1 2 8" xfId="345" xr:uid="{00000000-0005-0000-0000-00005A010000}"/>
    <cellStyle name="Accent1 2 9" xfId="346" xr:uid="{00000000-0005-0000-0000-00005B010000}"/>
    <cellStyle name="Accent1 3" xfId="347" xr:uid="{00000000-0005-0000-0000-00005C010000}"/>
    <cellStyle name="Accent1 3 2" xfId="348" xr:uid="{00000000-0005-0000-0000-00005D010000}"/>
    <cellStyle name="Accent2 2" xfId="349" xr:uid="{00000000-0005-0000-0000-00005E010000}"/>
    <cellStyle name="Accent2 2 10" xfId="350" xr:uid="{00000000-0005-0000-0000-00005F010000}"/>
    <cellStyle name="Accent2 2 2" xfId="351" xr:uid="{00000000-0005-0000-0000-000060010000}"/>
    <cellStyle name="Accent2 2 3" xfId="352" xr:uid="{00000000-0005-0000-0000-000061010000}"/>
    <cellStyle name="Accent2 2 4" xfId="353" xr:uid="{00000000-0005-0000-0000-000062010000}"/>
    <cellStyle name="Accent2 2 5" xfId="354" xr:uid="{00000000-0005-0000-0000-000063010000}"/>
    <cellStyle name="Accent2 2 6" xfId="355" xr:uid="{00000000-0005-0000-0000-000064010000}"/>
    <cellStyle name="Accent2 2 7" xfId="356" xr:uid="{00000000-0005-0000-0000-000065010000}"/>
    <cellStyle name="Accent2 2 8" xfId="357" xr:uid="{00000000-0005-0000-0000-000066010000}"/>
    <cellStyle name="Accent2 2 9" xfId="358" xr:uid="{00000000-0005-0000-0000-000067010000}"/>
    <cellStyle name="Accent2 3" xfId="359" xr:uid="{00000000-0005-0000-0000-000068010000}"/>
    <cellStyle name="Accent2 3 2" xfId="360" xr:uid="{00000000-0005-0000-0000-000069010000}"/>
    <cellStyle name="Accent3 2" xfId="361" xr:uid="{00000000-0005-0000-0000-00006A010000}"/>
    <cellStyle name="Accent3 2 10" xfId="362" xr:uid="{00000000-0005-0000-0000-00006B010000}"/>
    <cellStyle name="Accent3 2 2" xfId="363" xr:uid="{00000000-0005-0000-0000-00006C010000}"/>
    <cellStyle name="Accent3 2 3" xfId="364" xr:uid="{00000000-0005-0000-0000-00006D010000}"/>
    <cellStyle name="Accent3 2 4" xfId="365" xr:uid="{00000000-0005-0000-0000-00006E010000}"/>
    <cellStyle name="Accent3 2 5" xfId="366" xr:uid="{00000000-0005-0000-0000-00006F010000}"/>
    <cellStyle name="Accent3 2 6" xfId="367" xr:uid="{00000000-0005-0000-0000-000070010000}"/>
    <cellStyle name="Accent3 2 7" xfId="368" xr:uid="{00000000-0005-0000-0000-000071010000}"/>
    <cellStyle name="Accent3 2 8" xfId="369" xr:uid="{00000000-0005-0000-0000-000072010000}"/>
    <cellStyle name="Accent3 2 9" xfId="370" xr:uid="{00000000-0005-0000-0000-000073010000}"/>
    <cellStyle name="Accent3 3" xfId="371" xr:uid="{00000000-0005-0000-0000-000074010000}"/>
    <cellStyle name="Accent3 3 2" xfId="372" xr:uid="{00000000-0005-0000-0000-000075010000}"/>
    <cellStyle name="Accent4 2" xfId="373" xr:uid="{00000000-0005-0000-0000-000076010000}"/>
    <cellStyle name="Accent4 2 10" xfId="374" xr:uid="{00000000-0005-0000-0000-000077010000}"/>
    <cellStyle name="Accent4 2 2" xfId="375" xr:uid="{00000000-0005-0000-0000-000078010000}"/>
    <cellStyle name="Accent4 2 3" xfId="376" xr:uid="{00000000-0005-0000-0000-000079010000}"/>
    <cellStyle name="Accent4 2 4" xfId="377" xr:uid="{00000000-0005-0000-0000-00007A010000}"/>
    <cellStyle name="Accent4 2 5" xfId="378" xr:uid="{00000000-0005-0000-0000-00007B010000}"/>
    <cellStyle name="Accent4 2 6" xfId="379" xr:uid="{00000000-0005-0000-0000-00007C010000}"/>
    <cellStyle name="Accent4 2 7" xfId="380" xr:uid="{00000000-0005-0000-0000-00007D010000}"/>
    <cellStyle name="Accent4 2 8" xfId="381" xr:uid="{00000000-0005-0000-0000-00007E010000}"/>
    <cellStyle name="Accent4 2 9" xfId="382" xr:uid="{00000000-0005-0000-0000-00007F010000}"/>
    <cellStyle name="Accent4 3" xfId="383" xr:uid="{00000000-0005-0000-0000-000080010000}"/>
    <cellStyle name="Accent4 3 2" xfId="384" xr:uid="{00000000-0005-0000-0000-000081010000}"/>
    <cellStyle name="Accent5 2" xfId="385" xr:uid="{00000000-0005-0000-0000-000082010000}"/>
    <cellStyle name="Accent5 2 10" xfId="386" xr:uid="{00000000-0005-0000-0000-000083010000}"/>
    <cellStyle name="Accent5 2 2" xfId="387" xr:uid="{00000000-0005-0000-0000-000084010000}"/>
    <cellStyle name="Accent5 2 3" xfId="388" xr:uid="{00000000-0005-0000-0000-000085010000}"/>
    <cellStyle name="Accent5 2 4" xfId="389" xr:uid="{00000000-0005-0000-0000-000086010000}"/>
    <cellStyle name="Accent5 2 5" xfId="390" xr:uid="{00000000-0005-0000-0000-000087010000}"/>
    <cellStyle name="Accent5 2 6" xfId="391" xr:uid="{00000000-0005-0000-0000-000088010000}"/>
    <cellStyle name="Accent5 2 7" xfId="392" xr:uid="{00000000-0005-0000-0000-000089010000}"/>
    <cellStyle name="Accent5 2 8" xfId="393" xr:uid="{00000000-0005-0000-0000-00008A010000}"/>
    <cellStyle name="Accent5 2 9" xfId="394" xr:uid="{00000000-0005-0000-0000-00008B010000}"/>
    <cellStyle name="Accent5 3" xfId="395" xr:uid="{00000000-0005-0000-0000-00008C010000}"/>
    <cellStyle name="Accent6 2" xfId="396" xr:uid="{00000000-0005-0000-0000-00008D010000}"/>
    <cellStyle name="Accent6 2 10" xfId="397" xr:uid="{00000000-0005-0000-0000-00008E010000}"/>
    <cellStyle name="Accent6 2 2" xfId="398" xr:uid="{00000000-0005-0000-0000-00008F010000}"/>
    <cellStyle name="Accent6 2 3" xfId="399" xr:uid="{00000000-0005-0000-0000-000090010000}"/>
    <cellStyle name="Accent6 2 4" xfId="400" xr:uid="{00000000-0005-0000-0000-000091010000}"/>
    <cellStyle name="Accent6 2 5" xfId="401" xr:uid="{00000000-0005-0000-0000-000092010000}"/>
    <cellStyle name="Accent6 2 6" xfId="402" xr:uid="{00000000-0005-0000-0000-000093010000}"/>
    <cellStyle name="Accent6 2 7" xfId="403" xr:uid="{00000000-0005-0000-0000-000094010000}"/>
    <cellStyle name="Accent6 2 8" xfId="404" xr:uid="{00000000-0005-0000-0000-000095010000}"/>
    <cellStyle name="Accent6 2 9" xfId="405" xr:uid="{00000000-0005-0000-0000-000096010000}"/>
    <cellStyle name="Accent6 3" xfId="406" xr:uid="{00000000-0005-0000-0000-000097010000}"/>
    <cellStyle name="Accent6 3 2" xfId="407" xr:uid="{00000000-0005-0000-0000-000098010000}"/>
    <cellStyle name="AggOrange_CRFReport-template" xfId="408" xr:uid="{00000000-0005-0000-0000-000099010000}"/>
    <cellStyle name="AggOrange9_CRFReport-template" xfId="409" xr:uid="{00000000-0005-0000-0000-00009A010000}"/>
    <cellStyle name="Bad 2" xfId="410" xr:uid="{00000000-0005-0000-0000-00009B010000}"/>
    <cellStyle name="Bad 2 10" xfId="411" xr:uid="{00000000-0005-0000-0000-00009C010000}"/>
    <cellStyle name="Bad 2 2" xfId="412" xr:uid="{00000000-0005-0000-0000-00009D010000}"/>
    <cellStyle name="Bad 2 3" xfId="413" xr:uid="{00000000-0005-0000-0000-00009E010000}"/>
    <cellStyle name="Bad 2 4" xfId="414" xr:uid="{00000000-0005-0000-0000-00009F010000}"/>
    <cellStyle name="Bad 2 5" xfId="415" xr:uid="{00000000-0005-0000-0000-0000A0010000}"/>
    <cellStyle name="Bad 2 6" xfId="416" xr:uid="{00000000-0005-0000-0000-0000A1010000}"/>
    <cellStyle name="Bad 2 7" xfId="417" xr:uid="{00000000-0005-0000-0000-0000A2010000}"/>
    <cellStyle name="Bad 2 8" xfId="418" xr:uid="{00000000-0005-0000-0000-0000A3010000}"/>
    <cellStyle name="Bad 2 9" xfId="419" xr:uid="{00000000-0005-0000-0000-0000A4010000}"/>
    <cellStyle name="Bad 3" xfId="420" xr:uid="{00000000-0005-0000-0000-0000A5010000}"/>
    <cellStyle name="Bad 3 2" xfId="421" xr:uid="{00000000-0005-0000-0000-0000A6010000}"/>
    <cellStyle name="Calculation 2" xfId="422" xr:uid="{00000000-0005-0000-0000-0000A7010000}"/>
    <cellStyle name="Calculation 2 10" xfId="423" xr:uid="{00000000-0005-0000-0000-0000A8010000}"/>
    <cellStyle name="Calculation 2 2" xfId="424" xr:uid="{00000000-0005-0000-0000-0000A9010000}"/>
    <cellStyle name="Calculation 2 3" xfId="425" xr:uid="{00000000-0005-0000-0000-0000AA010000}"/>
    <cellStyle name="Calculation 2 4" xfId="426" xr:uid="{00000000-0005-0000-0000-0000AB010000}"/>
    <cellStyle name="Calculation 2 5" xfId="427" xr:uid="{00000000-0005-0000-0000-0000AC010000}"/>
    <cellStyle name="Calculation 2 6" xfId="428" xr:uid="{00000000-0005-0000-0000-0000AD010000}"/>
    <cellStyle name="Calculation 2 7" xfId="429" xr:uid="{00000000-0005-0000-0000-0000AE010000}"/>
    <cellStyle name="Calculation 2 8" xfId="430" xr:uid="{00000000-0005-0000-0000-0000AF010000}"/>
    <cellStyle name="Calculation 2 9" xfId="431" xr:uid="{00000000-0005-0000-0000-0000B0010000}"/>
    <cellStyle name="Calculation 3" xfId="432" xr:uid="{00000000-0005-0000-0000-0000B1010000}"/>
    <cellStyle name="Calculation 3 2" xfId="433" xr:uid="{00000000-0005-0000-0000-0000B2010000}"/>
    <cellStyle name="Check Cell 2" xfId="434" xr:uid="{00000000-0005-0000-0000-0000B3010000}"/>
    <cellStyle name="Check Cell 2 10" xfId="435" xr:uid="{00000000-0005-0000-0000-0000B4010000}"/>
    <cellStyle name="Check Cell 2 2" xfId="436" xr:uid="{00000000-0005-0000-0000-0000B5010000}"/>
    <cellStyle name="Check Cell 2 3" xfId="437" xr:uid="{00000000-0005-0000-0000-0000B6010000}"/>
    <cellStyle name="Check Cell 2 4" xfId="438" xr:uid="{00000000-0005-0000-0000-0000B7010000}"/>
    <cellStyle name="Check Cell 2 5" xfId="439" xr:uid="{00000000-0005-0000-0000-0000B8010000}"/>
    <cellStyle name="Check Cell 2 6" xfId="440" xr:uid="{00000000-0005-0000-0000-0000B9010000}"/>
    <cellStyle name="Check Cell 2 7" xfId="441" xr:uid="{00000000-0005-0000-0000-0000BA010000}"/>
    <cellStyle name="Check Cell 2 8" xfId="442" xr:uid="{00000000-0005-0000-0000-0000BB010000}"/>
    <cellStyle name="Check Cell 2 9" xfId="443" xr:uid="{00000000-0005-0000-0000-0000BC010000}"/>
    <cellStyle name="Check Cell 3" xfId="444" xr:uid="{00000000-0005-0000-0000-0000BD010000}"/>
    <cellStyle name="coin" xfId="445" xr:uid="{00000000-0005-0000-0000-0000BE010000}"/>
    <cellStyle name="coin 2" xfId="1752" xr:uid="{00000000-0005-0000-0000-0000BF010000}"/>
    <cellStyle name="Comma [0] 2 10" xfId="446" xr:uid="{00000000-0005-0000-0000-0000C0010000}"/>
    <cellStyle name="Comma [0] 2 10 2" xfId="1753" xr:uid="{00000000-0005-0000-0000-0000C1010000}"/>
    <cellStyle name="Comma [0] 2 10 2 2" xfId="3147" xr:uid="{C4F8D083-816B-4E66-82C7-F076EA48B863}"/>
    <cellStyle name="Comma [0] 2 10 3" xfId="2833" xr:uid="{B93B1C61-4DEB-40C9-A561-B6199B78F7FD}"/>
    <cellStyle name="Comma [0] 2 2" xfId="447" xr:uid="{00000000-0005-0000-0000-0000C2010000}"/>
    <cellStyle name="Comma [0] 2 2 2" xfId="1754" xr:uid="{00000000-0005-0000-0000-0000C3010000}"/>
    <cellStyle name="Comma [0] 2 2 2 2" xfId="3148" xr:uid="{03DED2C4-8E1B-45FA-9A6D-031F7794C5A3}"/>
    <cellStyle name="Comma [0] 2 2 3" xfId="2834" xr:uid="{987646B4-414A-463F-BE3A-CCD4C19EBFBA}"/>
    <cellStyle name="Comma [0] 2 3" xfId="448" xr:uid="{00000000-0005-0000-0000-0000C4010000}"/>
    <cellStyle name="Comma [0] 2 3 2" xfId="1755" xr:uid="{00000000-0005-0000-0000-0000C5010000}"/>
    <cellStyle name="Comma [0] 2 3 2 2" xfId="3149" xr:uid="{EEA1BCF9-2DA0-46AA-8816-59E892644F4D}"/>
    <cellStyle name="Comma [0] 2 3 3" xfId="2835" xr:uid="{806C9AF9-04EB-4ABD-AB63-B3DCD671D2DB}"/>
    <cellStyle name="Comma [0] 2 4" xfId="449" xr:uid="{00000000-0005-0000-0000-0000C6010000}"/>
    <cellStyle name="Comma [0] 2 4 2" xfId="1756" xr:uid="{00000000-0005-0000-0000-0000C7010000}"/>
    <cellStyle name="Comma [0] 2 4 2 2" xfId="3150" xr:uid="{FD5D46A8-AA9A-4B19-8359-C71EC79660A4}"/>
    <cellStyle name="Comma [0] 2 4 3" xfId="2836" xr:uid="{D967DB99-91FB-40EC-B525-17CED6D37952}"/>
    <cellStyle name="Comma [0] 2 5" xfId="450" xr:uid="{00000000-0005-0000-0000-0000C8010000}"/>
    <cellStyle name="Comma [0] 2 5 2" xfId="1757" xr:uid="{00000000-0005-0000-0000-0000C9010000}"/>
    <cellStyle name="Comma [0] 2 5 2 2" xfId="3151" xr:uid="{42809E20-DA26-47F4-9720-512E80A7A173}"/>
    <cellStyle name="Comma [0] 2 5 3" xfId="2837" xr:uid="{5B16F81A-E04E-40D1-B657-BCA665A9B2A2}"/>
    <cellStyle name="Comma [0] 2 6" xfId="451" xr:uid="{00000000-0005-0000-0000-0000CA010000}"/>
    <cellStyle name="Comma [0] 2 6 2" xfId="1758" xr:uid="{00000000-0005-0000-0000-0000CB010000}"/>
    <cellStyle name="Comma [0] 2 6 2 2" xfId="3152" xr:uid="{4692C6C8-3A51-4BFC-A979-69642102B620}"/>
    <cellStyle name="Comma [0] 2 6 3" xfId="2838" xr:uid="{AD160CCB-064E-4D62-BE4A-2B73103EF7C4}"/>
    <cellStyle name="Comma [0] 2 7" xfId="452" xr:uid="{00000000-0005-0000-0000-0000CC010000}"/>
    <cellStyle name="Comma [0] 2 7 2" xfId="1759" xr:uid="{00000000-0005-0000-0000-0000CD010000}"/>
    <cellStyle name="Comma [0] 2 7 2 2" xfId="3153" xr:uid="{CAC4B451-0927-4882-93D9-681A032C5883}"/>
    <cellStyle name="Comma [0] 2 7 3" xfId="2839" xr:uid="{E8ABEDAE-5403-40D6-B580-283CF0CE4DAA}"/>
    <cellStyle name="Comma [0] 2 8" xfId="453" xr:uid="{00000000-0005-0000-0000-0000CE010000}"/>
    <cellStyle name="Comma [0] 2 8 2" xfId="1760" xr:uid="{00000000-0005-0000-0000-0000CF010000}"/>
    <cellStyle name="Comma [0] 2 8 2 2" xfId="3154" xr:uid="{33EE275D-FC01-476D-AD4C-39D0CC673E56}"/>
    <cellStyle name="Comma [0] 2 8 3" xfId="2840" xr:uid="{2866C275-5CC5-457B-9C85-36E0641419DA}"/>
    <cellStyle name="Comma [0] 2 9" xfId="454" xr:uid="{00000000-0005-0000-0000-0000D0010000}"/>
    <cellStyle name="Comma [0] 2 9 2" xfId="1761" xr:uid="{00000000-0005-0000-0000-0000D1010000}"/>
    <cellStyle name="Comma [0] 2 9 2 2" xfId="3155" xr:uid="{03CB7675-324C-4328-A344-CE0EF0071A79}"/>
    <cellStyle name="Comma [0] 2 9 3" xfId="2841" xr:uid="{17D9D4B4-C4D1-4422-BA41-E6595613C756}"/>
    <cellStyle name="Comma 10 2" xfId="455" xr:uid="{00000000-0005-0000-0000-0000D2010000}"/>
    <cellStyle name="Comma 10 2 10" xfId="456" xr:uid="{00000000-0005-0000-0000-0000D3010000}"/>
    <cellStyle name="Comma 10 2 10 2" xfId="1763" xr:uid="{00000000-0005-0000-0000-0000D4010000}"/>
    <cellStyle name="Comma 10 2 10 2 2" xfId="3157" xr:uid="{F6201C47-96A8-45C5-A9BE-D3C97E238A64}"/>
    <cellStyle name="Comma 10 2 10 3" xfId="2843" xr:uid="{3EA30D30-613B-4C80-BBAA-9A19519E8CFE}"/>
    <cellStyle name="Comma 10 2 11" xfId="457" xr:uid="{00000000-0005-0000-0000-0000D5010000}"/>
    <cellStyle name="Comma 10 2 11 2" xfId="1764" xr:uid="{00000000-0005-0000-0000-0000D6010000}"/>
    <cellStyle name="Comma 10 2 11 2 2" xfId="3158" xr:uid="{0E53986E-17B5-4BE5-8244-03BC900B93ED}"/>
    <cellStyle name="Comma 10 2 11 3" xfId="2844" xr:uid="{9E5EE481-70D8-457B-BECC-CE96586128CE}"/>
    <cellStyle name="Comma 10 2 12" xfId="458" xr:uid="{00000000-0005-0000-0000-0000D7010000}"/>
    <cellStyle name="Comma 10 2 12 2" xfId="1765" xr:uid="{00000000-0005-0000-0000-0000D8010000}"/>
    <cellStyle name="Comma 10 2 12 2 2" xfId="3159" xr:uid="{F9292833-072D-4552-801C-C8ADB16BB3E2}"/>
    <cellStyle name="Comma 10 2 12 3" xfId="2845" xr:uid="{E81385FF-D194-458E-A581-B9F5F1015A3B}"/>
    <cellStyle name="Comma 10 2 13" xfId="459" xr:uid="{00000000-0005-0000-0000-0000D9010000}"/>
    <cellStyle name="Comma 10 2 13 2" xfId="1766" xr:uid="{00000000-0005-0000-0000-0000DA010000}"/>
    <cellStyle name="Comma 10 2 13 2 2" xfId="3160" xr:uid="{708DFA3E-F504-4782-975C-2B5DF1D5ED1B}"/>
    <cellStyle name="Comma 10 2 13 3" xfId="2846" xr:uid="{8BF48B08-B127-4E3B-AEDA-1E8666603E64}"/>
    <cellStyle name="Comma 10 2 14" xfId="460" xr:uid="{00000000-0005-0000-0000-0000DB010000}"/>
    <cellStyle name="Comma 10 2 14 2" xfId="1767" xr:uid="{00000000-0005-0000-0000-0000DC010000}"/>
    <cellStyle name="Comma 10 2 14 2 2" xfId="3161" xr:uid="{B6A919CD-9DBD-48F7-B5F4-B7ED23EF2AD5}"/>
    <cellStyle name="Comma 10 2 14 3" xfId="2847" xr:uid="{85185410-9016-441F-AE77-1E538165887D}"/>
    <cellStyle name="Comma 10 2 15" xfId="461" xr:uid="{00000000-0005-0000-0000-0000DD010000}"/>
    <cellStyle name="Comma 10 2 15 2" xfId="1768" xr:uid="{00000000-0005-0000-0000-0000DE010000}"/>
    <cellStyle name="Comma 10 2 15 2 2" xfId="3162" xr:uid="{9E8D7274-E888-4D83-B1D0-8B6D557DADCE}"/>
    <cellStyle name="Comma 10 2 15 3" xfId="2848" xr:uid="{09526AB6-CEF0-4EF3-81F6-BE8414A85853}"/>
    <cellStyle name="Comma 10 2 16" xfId="462" xr:uid="{00000000-0005-0000-0000-0000DF010000}"/>
    <cellStyle name="Comma 10 2 16 2" xfId="1769" xr:uid="{00000000-0005-0000-0000-0000E0010000}"/>
    <cellStyle name="Comma 10 2 16 2 2" xfId="3163" xr:uid="{3D419FBC-FD66-41EF-B84A-EB9AC0716EDB}"/>
    <cellStyle name="Comma 10 2 16 3" xfId="2849" xr:uid="{AF907178-390B-4161-A823-6B8D6F2424A2}"/>
    <cellStyle name="Comma 10 2 17" xfId="463" xr:uid="{00000000-0005-0000-0000-0000E1010000}"/>
    <cellStyle name="Comma 10 2 17 2" xfId="1770" xr:uid="{00000000-0005-0000-0000-0000E2010000}"/>
    <cellStyle name="Comma 10 2 17 2 2" xfId="3164" xr:uid="{EBBFFFE4-6E6F-4154-87CC-13AC5FDEDA1F}"/>
    <cellStyle name="Comma 10 2 17 3" xfId="2850" xr:uid="{954BB333-C1D7-4785-9B16-140B671963D2}"/>
    <cellStyle name="Comma 10 2 18" xfId="1762" xr:uid="{00000000-0005-0000-0000-0000E3010000}"/>
    <cellStyle name="Comma 10 2 18 2" xfId="3156" xr:uid="{140687A0-B6DA-4A11-8D0F-8748249EF9F5}"/>
    <cellStyle name="Comma 10 2 19" xfId="2842" xr:uid="{060BB6DD-233F-4AA5-8950-170154A05B96}"/>
    <cellStyle name="Comma 10 2 2" xfId="464" xr:uid="{00000000-0005-0000-0000-0000E4010000}"/>
    <cellStyle name="Comma 10 2 2 2" xfId="1771" xr:uid="{00000000-0005-0000-0000-0000E5010000}"/>
    <cellStyle name="Comma 10 2 2 2 2" xfId="3165" xr:uid="{386668CA-9CB0-4029-8CAB-58BAE1F842F9}"/>
    <cellStyle name="Comma 10 2 2 3" xfId="2851" xr:uid="{935ADEBB-46FE-46AD-896B-973A99BCA77F}"/>
    <cellStyle name="Comma 10 2 3" xfId="465" xr:uid="{00000000-0005-0000-0000-0000E6010000}"/>
    <cellStyle name="Comma 10 2 3 2" xfId="1772" xr:uid="{00000000-0005-0000-0000-0000E7010000}"/>
    <cellStyle name="Comma 10 2 3 2 2" xfId="3166" xr:uid="{A60013C5-5EDF-49FC-8533-2C5CB68CF428}"/>
    <cellStyle name="Comma 10 2 3 3" xfId="2852" xr:uid="{81250851-9589-4836-8EEA-A155CDC0F3F5}"/>
    <cellStyle name="Comma 10 2 4" xfId="466" xr:uid="{00000000-0005-0000-0000-0000E8010000}"/>
    <cellStyle name="Comma 10 2 4 2" xfId="1773" xr:uid="{00000000-0005-0000-0000-0000E9010000}"/>
    <cellStyle name="Comma 10 2 4 2 2" xfId="3167" xr:uid="{C023139A-F54A-46BA-9557-51442A2AF1D0}"/>
    <cellStyle name="Comma 10 2 4 3" xfId="2853" xr:uid="{9A4C557F-957C-402D-9770-BF874209456E}"/>
    <cellStyle name="Comma 10 2 5" xfId="467" xr:uid="{00000000-0005-0000-0000-0000EA010000}"/>
    <cellStyle name="Comma 10 2 5 2" xfId="1774" xr:uid="{00000000-0005-0000-0000-0000EB010000}"/>
    <cellStyle name="Comma 10 2 5 2 2" xfId="3168" xr:uid="{48F66559-44B9-4982-8561-DAA750A953AD}"/>
    <cellStyle name="Comma 10 2 5 3" xfId="2854" xr:uid="{A6A5614C-B6DA-4ACF-A64F-3336033ACC69}"/>
    <cellStyle name="Comma 10 2 6" xfId="468" xr:uid="{00000000-0005-0000-0000-0000EC010000}"/>
    <cellStyle name="Comma 10 2 6 2" xfId="1775" xr:uid="{00000000-0005-0000-0000-0000ED010000}"/>
    <cellStyle name="Comma 10 2 6 2 2" xfId="3169" xr:uid="{59110B39-5F19-4BE2-9121-6C3B8D44E0A6}"/>
    <cellStyle name="Comma 10 2 6 3" xfId="2855" xr:uid="{B6AB4963-CE69-470A-9F55-4CC268766867}"/>
    <cellStyle name="Comma 10 2 7" xfId="469" xr:uid="{00000000-0005-0000-0000-0000EE010000}"/>
    <cellStyle name="Comma 10 2 7 2" xfId="1776" xr:uid="{00000000-0005-0000-0000-0000EF010000}"/>
    <cellStyle name="Comma 10 2 7 2 2" xfId="3170" xr:uid="{93B06F54-885C-448A-AC05-5CF732B11745}"/>
    <cellStyle name="Comma 10 2 7 3" xfId="2856" xr:uid="{5FF7D287-3401-41BE-9327-DF2BF41B193D}"/>
    <cellStyle name="Comma 10 2 8" xfId="470" xr:uid="{00000000-0005-0000-0000-0000F0010000}"/>
    <cellStyle name="Comma 10 2 8 2" xfId="1777" xr:uid="{00000000-0005-0000-0000-0000F1010000}"/>
    <cellStyle name="Comma 10 2 8 2 2" xfId="3171" xr:uid="{59060749-784A-42CA-B148-64E4027BFB46}"/>
    <cellStyle name="Comma 10 2 8 3" xfId="2857" xr:uid="{18DEB6BB-A9ED-47B7-8F9C-D3BB311BE5E7}"/>
    <cellStyle name="Comma 10 2 9" xfId="471" xr:uid="{00000000-0005-0000-0000-0000F2010000}"/>
    <cellStyle name="Comma 10 2 9 2" xfId="1778" xr:uid="{00000000-0005-0000-0000-0000F3010000}"/>
    <cellStyle name="Comma 10 2 9 2 2" xfId="3172" xr:uid="{0BF92E4C-76A4-48E5-94D9-849A22F270B0}"/>
    <cellStyle name="Comma 10 2 9 3" xfId="2858" xr:uid="{6FBE30EA-ACBB-452C-8678-1B97CA225D81}"/>
    <cellStyle name="Comma 10 3" xfId="472" xr:uid="{00000000-0005-0000-0000-0000F4010000}"/>
    <cellStyle name="Comma 10 3 10" xfId="473" xr:uid="{00000000-0005-0000-0000-0000F5010000}"/>
    <cellStyle name="Comma 10 3 10 2" xfId="1780" xr:uid="{00000000-0005-0000-0000-0000F6010000}"/>
    <cellStyle name="Comma 10 3 10 2 2" xfId="3174" xr:uid="{CFC3C76A-E711-4B33-B159-ADA1371D6E45}"/>
    <cellStyle name="Comma 10 3 10 3" xfId="2860" xr:uid="{7D8F43C4-33FB-4BC7-8FBE-4A03C3150505}"/>
    <cellStyle name="Comma 10 3 11" xfId="474" xr:uid="{00000000-0005-0000-0000-0000F7010000}"/>
    <cellStyle name="Comma 10 3 11 2" xfId="1781" xr:uid="{00000000-0005-0000-0000-0000F8010000}"/>
    <cellStyle name="Comma 10 3 11 2 2" xfId="3175" xr:uid="{729B9AA2-59BD-4B3B-8730-EA0F59972C51}"/>
    <cellStyle name="Comma 10 3 11 3" xfId="2861" xr:uid="{BC7CB5BA-F348-4169-9F7B-127E431D2808}"/>
    <cellStyle name="Comma 10 3 12" xfId="475" xr:uid="{00000000-0005-0000-0000-0000F9010000}"/>
    <cellStyle name="Comma 10 3 12 2" xfId="1782" xr:uid="{00000000-0005-0000-0000-0000FA010000}"/>
    <cellStyle name="Comma 10 3 12 2 2" xfId="3176" xr:uid="{5ADE1BE1-DDAA-42F4-A5C8-825696EF41B0}"/>
    <cellStyle name="Comma 10 3 12 3" xfId="2862" xr:uid="{142E600D-EDF9-461F-9BEC-1F2A888C4FE3}"/>
    <cellStyle name="Comma 10 3 13" xfId="476" xr:uid="{00000000-0005-0000-0000-0000FB010000}"/>
    <cellStyle name="Comma 10 3 13 2" xfId="1783" xr:uid="{00000000-0005-0000-0000-0000FC010000}"/>
    <cellStyle name="Comma 10 3 13 2 2" xfId="3177" xr:uid="{37B9B4C8-7341-42C3-B5B2-C2702D267C06}"/>
    <cellStyle name="Comma 10 3 13 3" xfId="2863" xr:uid="{1A61E9EF-5CFA-4D3D-9ECE-79759BB68711}"/>
    <cellStyle name="Comma 10 3 14" xfId="477" xr:uid="{00000000-0005-0000-0000-0000FD010000}"/>
    <cellStyle name="Comma 10 3 14 2" xfId="1784" xr:uid="{00000000-0005-0000-0000-0000FE010000}"/>
    <cellStyle name="Comma 10 3 14 2 2" xfId="3178" xr:uid="{43A385B8-32BE-4C11-B497-07F679556169}"/>
    <cellStyle name="Comma 10 3 14 3" xfId="2864" xr:uid="{737C0432-9782-4BB4-B692-D77635DBA4D6}"/>
    <cellStyle name="Comma 10 3 15" xfId="478" xr:uid="{00000000-0005-0000-0000-0000FF010000}"/>
    <cellStyle name="Comma 10 3 15 2" xfId="1785" xr:uid="{00000000-0005-0000-0000-000000020000}"/>
    <cellStyle name="Comma 10 3 15 2 2" xfId="3179" xr:uid="{9F27C2E7-B082-4C03-9CFB-FC3BE56195C3}"/>
    <cellStyle name="Comma 10 3 15 3" xfId="2865" xr:uid="{6420C4A2-E42C-47E1-B919-E27CB0440A86}"/>
    <cellStyle name="Comma 10 3 16" xfId="479" xr:uid="{00000000-0005-0000-0000-000001020000}"/>
    <cellStyle name="Comma 10 3 16 2" xfId="1786" xr:uid="{00000000-0005-0000-0000-000002020000}"/>
    <cellStyle name="Comma 10 3 16 2 2" xfId="3180" xr:uid="{A9A65497-77E6-43E2-981E-7A9015D36F5F}"/>
    <cellStyle name="Comma 10 3 16 3" xfId="2866" xr:uid="{20715686-C8AE-4E4F-840A-32D563B59206}"/>
    <cellStyle name="Comma 10 3 17" xfId="480" xr:uid="{00000000-0005-0000-0000-000003020000}"/>
    <cellStyle name="Comma 10 3 17 2" xfId="1787" xr:uid="{00000000-0005-0000-0000-000004020000}"/>
    <cellStyle name="Comma 10 3 17 2 2" xfId="3181" xr:uid="{34C17F56-6CE4-4DDD-9FAC-61D2BC448333}"/>
    <cellStyle name="Comma 10 3 17 3" xfId="2867" xr:uid="{1559C056-27DE-406E-BA3D-23BA4D834AF3}"/>
    <cellStyle name="Comma 10 3 18" xfId="1779" xr:uid="{00000000-0005-0000-0000-000005020000}"/>
    <cellStyle name="Comma 10 3 18 2" xfId="3173" xr:uid="{8E3006EA-F495-4B9D-AB7B-B851A6F7BB37}"/>
    <cellStyle name="Comma 10 3 19" xfId="2859" xr:uid="{E2C58FA8-5696-4851-B783-35A0735F626A}"/>
    <cellStyle name="Comma 10 3 2" xfId="481" xr:uid="{00000000-0005-0000-0000-000006020000}"/>
    <cellStyle name="Comma 10 3 2 2" xfId="1788" xr:uid="{00000000-0005-0000-0000-000007020000}"/>
    <cellStyle name="Comma 10 3 2 2 2" xfId="3182" xr:uid="{2351D4C2-8C93-4D13-AF79-68020D01BEDE}"/>
    <cellStyle name="Comma 10 3 2 3" xfId="2868" xr:uid="{FF7645D0-E3AD-457B-83E5-C311328FF677}"/>
    <cellStyle name="Comma 10 3 3" xfId="482" xr:uid="{00000000-0005-0000-0000-000008020000}"/>
    <cellStyle name="Comma 10 3 3 2" xfId="1789" xr:uid="{00000000-0005-0000-0000-000009020000}"/>
    <cellStyle name="Comma 10 3 3 2 2" xfId="3183" xr:uid="{F44E9847-F1B6-45AA-9388-8B6E08574817}"/>
    <cellStyle name="Comma 10 3 3 3" xfId="2869" xr:uid="{AEB0746B-68A6-47B0-A8A2-DDDA349CA338}"/>
    <cellStyle name="Comma 10 3 4" xfId="483" xr:uid="{00000000-0005-0000-0000-00000A020000}"/>
    <cellStyle name="Comma 10 3 4 2" xfId="1790" xr:uid="{00000000-0005-0000-0000-00000B020000}"/>
    <cellStyle name="Comma 10 3 4 2 2" xfId="3184" xr:uid="{D2C8E269-9124-4742-A0B2-8AABD85FB0E7}"/>
    <cellStyle name="Comma 10 3 4 3" xfId="2870" xr:uid="{C7721250-3AAE-409F-9D5E-2BA657932979}"/>
    <cellStyle name="Comma 10 3 5" xfId="484" xr:uid="{00000000-0005-0000-0000-00000C020000}"/>
    <cellStyle name="Comma 10 3 5 2" xfId="1791" xr:uid="{00000000-0005-0000-0000-00000D020000}"/>
    <cellStyle name="Comma 10 3 5 2 2" xfId="3185" xr:uid="{72B9D064-005E-45E9-BC97-F0E837272750}"/>
    <cellStyle name="Comma 10 3 5 3" xfId="2871" xr:uid="{CE64BE26-C07E-4A3F-84C6-9CCC9430A209}"/>
    <cellStyle name="Comma 10 3 6" xfId="485" xr:uid="{00000000-0005-0000-0000-00000E020000}"/>
    <cellStyle name="Comma 10 3 6 2" xfId="1792" xr:uid="{00000000-0005-0000-0000-00000F020000}"/>
    <cellStyle name="Comma 10 3 6 2 2" xfId="3186" xr:uid="{6C747952-615C-4671-8B05-80485390E27D}"/>
    <cellStyle name="Comma 10 3 6 3" xfId="2872" xr:uid="{F51EBF96-E644-45FC-8856-DEF502A46A71}"/>
    <cellStyle name="Comma 10 3 7" xfId="486" xr:uid="{00000000-0005-0000-0000-000010020000}"/>
    <cellStyle name="Comma 10 3 7 2" xfId="1793" xr:uid="{00000000-0005-0000-0000-000011020000}"/>
    <cellStyle name="Comma 10 3 7 2 2" xfId="3187" xr:uid="{5992B2FC-BBF4-463B-8AEE-3BDCE58F6EBF}"/>
    <cellStyle name="Comma 10 3 7 3" xfId="2873" xr:uid="{4D6FEEA5-F279-41B9-AA10-C556EB9EC736}"/>
    <cellStyle name="Comma 10 3 8" xfId="487" xr:uid="{00000000-0005-0000-0000-000012020000}"/>
    <cellStyle name="Comma 10 3 8 2" xfId="1794" xr:uid="{00000000-0005-0000-0000-000013020000}"/>
    <cellStyle name="Comma 10 3 8 2 2" xfId="3188" xr:uid="{3448BD05-2F1F-4C7B-96FF-71C95235BD7D}"/>
    <cellStyle name="Comma 10 3 8 3" xfId="2874" xr:uid="{801A078D-ECE0-48E2-8188-FB2D582D78CB}"/>
    <cellStyle name="Comma 10 3 9" xfId="488" xr:uid="{00000000-0005-0000-0000-000014020000}"/>
    <cellStyle name="Comma 10 3 9 2" xfId="1795" xr:uid="{00000000-0005-0000-0000-000015020000}"/>
    <cellStyle name="Comma 10 3 9 2 2" xfId="3189" xr:uid="{45D81522-931B-4C82-A4BB-24F398B67630}"/>
    <cellStyle name="Comma 10 3 9 3" xfId="2875" xr:uid="{707F4892-A28B-4C90-B2AD-4650CB926FAB}"/>
    <cellStyle name="Comma 10 4" xfId="489" xr:uid="{00000000-0005-0000-0000-000016020000}"/>
    <cellStyle name="Comma 10 4 10" xfId="490" xr:uid="{00000000-0005-0000-0000-000017020000}"/>
    <cellStyle name="Comma 10 4 10 2" xfId="1797" xr:uid="{00000000-0005-0000-0000-000018020000}"/>
    <cellStyle name="Comma 10 4 10 2 2" xfId="3191" xr:uid="{3619D589-2667-4CE1-8D6C-BA045C493F44}"/>
    <cellStyle name="Comma 10 4 10 3" xfId="2877" xr:uid="{045D56E0-29CC-4427-ABF2-5AB4831B177E}"/>
    <cellStyle name="Comma 10 4 11" xfId="491" xr:uid="{00000000-0005-0000-0000-000019020000}"/>
    <cellStyle name="Comma 10 4 11 2" xfId="1798" xr:uid="{00000000-0005-0000-0000-00001A020000}"/>
    <cellStyle name="Comma 10 4 11 2 2" xfId="3192" xr:uid="{493F99BF-9993-4E0A-A6EA-BB2E451B6C1F}"/>
    <cellStyle name="Comma 10 4 11 3" xfId="2878" xr:uid="{FE029A75-707F-460B-AC9B-660AF672F31A}"/>
    <cellStyle name="Comma 10 4 12" xfId="492" xr:uid="{00000000-0005-0000-0000-00001B020000}"/>
    <cellStyle name="Comma 10 4 12 2" xfId="1799" xr:uid="{00000000-0005-0000-0000-00001C020000}"/>
    <cellStyle name="Comma 10 4 12 2 2" xfId="3193" xr:uid="{EC2D826A-CD64-4715-B4C6-A1A01205C623}"/>
    <cellStyle name="Comma 10 4 12 3" xfId="2879" xr:uid="{4E1182C3-A9DC-4AE4-BB81-C0E7687AA89C}"/>
    <cellStyle name="Comma 10 4 13" xfId="493" xr:uid="{00000000-0005-0000-0000-00001D020000}"/>
    <cellStyle name="Comma 10 4 13 2" xfId="1800" xr:uid="{00000000-0005-0000-0000-00001E020000}"/>
    <cellStyle name="Comma 10 4 13 2 2" xfId="3194" xr:uid="{C9AB1907-E8D0-4D34-8760-E5F63D2ABFE9}"/>
    <cellStyle name="Comma 10 4 13 3" xfId="2880" xr:uid="{E478B343-F8C7-4021-AF59-BB10696F111D}"/>
    <cellStyle name="Comma 10 4 14" xfId="494" xr:uid="{00000000-0005-0000-0000-00001F020000}"/>
    <cellStyle name="Comma 10 4 14 2" xfId="1801" xr:uid="{00000000-0005-0000-0000-000020020000}"/>
    <cellStyle name="Comma 10 4 14 2 2" xfId="3195" xr:uid="{9D95D49C-9062-42E9-B189-FEC70943AEFA}"/>
    <cellStyle name="Comma 10 4 14 3" xfId="2881" xr:uid="{77C70AF6-141B-49D9-9DC5-3FA6678BAD28}"/>
    <cellStyle name="Comma 10 4 15" xfId="495" xr:uid="{00000000-0005-0000-0000-000021020000}"/>
    <cellStyle name="Comma 10 4 15 2" xfId="1802" xr:uid="{00000000-0005-0000-0000-000022020000}"/>
    <cellStyle name="Comma 10 4 15 2 2" xfId="3196" xr:uid="{A5306330-FCE4-4FEF-A312-B48DCAB835CC}"/>
    <cellStyle name="Comma 10 4 15 3" xfId="2882" xr:uid="{8920149F-B9B6-46F9-AF80-219E3E241579}"/>
    <cellStyle name="Comma 10 4 16" xfId="496" xr:uid="{00000000-0005-0000-0000-000023020000}"/>
    <cellStyle name="Comma 10 4 16 2" xfId="1803" xr:uid="{00000000-0005-0000-0000-000024020000}"/>
    <cellStyle name="Comma 10 4 16 2 2" xfId="3197" xr:uid="{8AF17291-965B-4937-8808-AE40CB0AEF4E}"/>
    <cellStyle name="Comma 10 4 16 3" xfId="2883" xr:uid="{94D46F06-FDB2-4498-930B-197A67E2F34B}"/>
    <cellStyle name="Comma 10 4 17" xfId="497" xr:uid="{00000000-0005-0000-0000-000025020000}"/>
    <cellStyle name="Comma 10 4 17 2" xfId="1804" xr:uid="{00000000-0005-0000-0000-000026020000}"/>
    <cellStyle name="Comma 10 4 17 2 2" xfId="3198" xr:uid="{D96DCB51-1091-480F-B8D5-7B9791D074CA}"/>
    <cellStyle name="Comma 10 4 17 3" xfId="2884" xr:uid="{43EBF6D8-BCF7-426A-828E-31420DE927D9}"/>
    <cellStyle name="Comma 10 4 18" xfId="1796" xr:uid="{00000000-0005-0000-0000-000027020000}"/>
    <cellStyle name="Comma 10 4 18 2" xfId="3190" xr:uid="{E9B277B7-ACD9-4821-A8E3-FAB331A9BAD3}"/>
    <cellStyle name="Comma 10 4 19" xfId="2876" xr:uid="{E3B17900-8164-4D8D-9398-BD57835E69EB}"/>
    <cellStyle name="Comma 10 4 2" xfId="498" xr:uid="{00000000-0005-0000-0000-000028020000}"/>
    <cellStyle name="Comma 10 4 2 2" xfId="1805" xr:uid="{00000000-0005-0000-0000-000029020000}"/>
    <cellStyle name="Comma 10 4 2 2 2" xfId="3199" xr:uid="{AEC7829D-FAAD-432A-8A2A-CFAFF8B13372}"/>
    <cellStyle name="Comma 10 4 2 3" xfId="2885" xr:uid="{29AA4826-4ED2-44C8-87E3-90C2413677B5}"/>
    <cellStyle name="Comma 10 4 3" xfId="499" xr:uid="{00000000-0005-0000-0000-00002A020000}"/>
    <cellStyle name="Comma 10 4 3 2" xfId="1806" xr:uid="{00000000-0005-0000-0000-00002B020000}"/>
    <cellStyle name="Comma 10 4 3 2 2" xfId="3200" xr:uid="{EEA717C9-EBB4-40A4-86E0-D14B5D802892}"/>
    <cellStyle name="Comma 10 4 3 3" xfId="2886" xr:uid="{C08B2498-4EFA-4110-BDFC-C53ECAC37702}"/>
    <cellStyle name="Comma 10 4 4" xfId="500" xr:uid="{00000000-0005-0000-0000-00002C020000}"/>
    <cellStyle name="Comma 10 4 4 2" xfId="1807" xr:uid="{00000000-0005-0000-0000-00002D020000}"/>
    <cellStyle name="Comma 10 4 4 2 2" xfId="3201" xr:uid="{61E0DE00-C3DA-4746-AA0E-1A1A9F33E25B}"/>
    <cellStyle name="Comma 10 4 4 3" xfId="2887" xr:uid="{19820969-4B87-4899-B6FF-7E50AAD1BA94}"/>
    <cellStyle name="Comma 10 4 5" xfId="501" xr:uid="{00000000-0005-0000-0000-00002E020000}"/>
    <cellStyle name="Comma 10 4 5 2" xfId="1808" xr:uid="{00000000-0005-0000-0000-00002F020000}"/>
    <cellStyle name="Comma 10 4 5 2 2" xfId="3202" xr:uid="{A81EAA57-C1B7-4D47-AF9B-2A05044A804D}"/>
    <cellStyle name="Comma 10 4 5 3" xfId="2888" xr:uid="{51B5F616-DA05-4F96-8345-90972B151230}"/>
    <cellStyle name="Comma 10 4 6" xfId="502" xr:uid="{00000000-0005-0000-0000-000030020000}"/>
    <cellStyle name="Comma 10 4 6 2" xfId="1809" xr:uid="{00000000-0005-0000-0000-000031020000}"/>
    <cellStyle name="Comma 10 4 6 2 2" xfId="3203" xr:uid="{EA40CE10-86B0-43AF-86A8-EB2DF0413BDE}"/>
    <cellStyle name="Comma 10 4 6 3" xfId="2889" xr:uid="{7ABE3D49-DFE9-440F-B91D-610F7186FF08}"/>
    <cellStyle name="Comma 10 4 7" xfId="503" xr:uid="{00000000-0005-0000-0000-000032020000}"/>
    <cellStyle name="Comma 10 4 7 2" xfId="1810" xr:uid="{00000000-0005-0000-0000-000033020000}"/>
    <cellStyle name="Comma 10 4 7 2 2" xfId="3204" xr:uid="{18F291AE-E4B4-49C9-BF8F-4555417B70CC}"/>
    <cellStyle name="Comma 10 4 7 3" xfId="2890" xr:uid="{A83FBA06-10FB-4941-AEFC-4405E5F347F7}"/>
    <cellStyle name="Comma 10 4 8" xfId="504" xr:uid="{00000000-0005-0000-0000-000034020000}"/>
    <cellStyle name="Comma 10 4 8 2" xfId="1811" xr:uid="{00000000-0005-0000-0000-000035020000}"/>
    <cellStyle name="Comma 10 4 8 2 2" xfId="3205" xr:uid="{916529F7-93B8-4A71-98CF-E288AE600973}"/>
    <cellStyle name="Comma 10 4 8 3" xfId="2891" xr:uid="{285821A2-1DB5-48E0-B790-0823777D263D}"/>
    <cellStyle name="Comma 10 4 9" xfId="505" xr:uid="{00000000-0005-0000-0000-000036020000}"/>
    <cellStyle name="Comma 10 4 9 2" xfId="1812" xr:uid="{00000000-0005-0000-0000-000037020000}"/>
    <cellStyle name="Comma 10 4 9 2 2" xfId="3206" xr:uid="{011DA05F-DD47-48A6-B0C1-774F0AF23B2A}"/>
    <cellStyle name="Comma 10 4 9 3" xfId="2892" xr:uid="{B3BAED11-F8DD-4742-BB71-92D1C08A59B5}"/>
    <cellStyle name="Comma 10 5" xfId="506" xr:uid="{00000000-0005-0000-0000-000038020000}"/>
    <cellStyle name="Comma 10 5 10" xfId="507" xr:uid="{00000000-0005-0000-0000-000039020000}"/>
    <cellStyle name="Comma 10 5 10 2" xfId="1814" xr:uid="{00000000-0005-0000-0000-00003A020000}"/>
    <cellStyle name="Comma 10 5 10 2 2" xfId="3208" xr:uid="{18CA60BF-781E-4E09-A66E-CE0D8620332B}"/>
    <cellStyle name="Comma 10 5 10 3" xfId="2894" xr:uid="{F19C2F1D-44F9-49BE-B791-5E93450DA304}"/>
    <cellStyle name="Comma 10 5 11" xfId="508" xr:uid="{00000000-0005-0000-0000-00003B020000}"/>
    <cellStyle name="Comma 10 5 11 2" xfId="1815" xr:uid="{00000000-0005-0000-0000-00003C020000}"/>
    <cellStyle name="Comma 10 5 11 2 2" xfId="3209" xr:uid="{0E7B7940-57C8-4B38-981A-51DC3ACBD589}"/>
    <cellStyle name="Comma 10 5 11 3" xfId="2895" xr:uid="{FCFBF581-5B1A-4516-A471-868E3C7CC739}"/>
    <cellStyle name="Comma 10 5 12" xfId="509" xr:uid="{00000000-0005-0000-0000-00003D020000}"/>
    <cellStyle name="Comma 10 5 12 2" xfId="1816" xr:uid="{00000000-0005-0000-0000-00003E020000}"/>
    <cellStyle name="Comma 10 5 12 2 2" xfId="3210" xr:uid="{084BC9CB-4D1B-476A-8427-48854E6FBD86}"/>
    <cellStyle name="Comma 10 5 12 3" xfId="2896" xr:uid="{6CFCCA2A-4985-4977-8DA9-F6DCB4782200}"/>
    <cellStyle name="Comma 10 5 13" xfId="510" xr:uid="{00000000-0005-0000-0000-00003F020000}"/>
    <cellStyle name="Comma 10 5 13 2" xfId="1817" xr:uid="{00000000-0005-0000-0000-000040020000}"/>
    <cellStyle name="Comma 10 5 13 2 2" xfId="3211" xr:uid="{C0EAC8E8-5099-45B4-8444-47C7280E17DC}"/>
    <cellStyle name="Comma 10 5 13 3" xfId="2897" xr:uid="{2A416BA8-102B-4D4B-A9C1-1F2629A30187}"/>
    <cellStyle name="Comma 10 5 14" xfId="511" xr:uid="{00000000-0005-0000-0000-000041020000}"/>
    <cellStyle name="Comma 10 5 14 2" xfId="1818" xr:uid="{00000000-0005-0000-0000-000042020000}"/>
    <cellStyle name="Comma 10 5 14 2 2" xfId="3212" xr:uid="{2B07CBE8-FB2D-4E99-BE9C-DC0283D6DBB5}"/>
    <cellStyle name="Comma 10 5 14 3" xfId="2898" xr:uid="{B4409AA8-A0F2-407F-A23D-E02121C39F54}"/>
    <cellStyle name="Comma 10 5 15" xfId="512" xr:uid="{00000000-0005-0000-0000-000043020000}"/>
    <cellStyle name="Comma 10 5 15 2" xfId="1819" xr:uid="{00000000-0005-0000-0000-000044020000}"/>
    <cellStyle name="Comma 10 5 15 2 2" xfId="3213" xr:uid="{E0075A1B-DC42-4C1E-9553-5A479675163C}"/>
    <cellStyle name="Comma 10 5 15 3" xfId="2899" xr:uid="{16908010-4E2E-414E-86CE-4B36F721AC68}"/>
    <cellStyle name="Comma 10 5 16" xfId="513" xr:uid="{00000000-0005-0000-0000-000045020000}"/>
    <cellStyle name="Comma 10 5 16 2" xfId="1820" xr:uid="{00000000-0005-0000-0000-000046020000}"/>
    <cellStyle name="Comma 10 5 16 2 2" xfId="3214" xr:uid="{82C2FD82-D01A-4A9F-81B2-B52F41BE532F}"/>
    <cellStyle name="Comma 10 5 16 3" xfId="2900" xr:uid="{D358C6EC-70D4-464C-A24B-D07A59D432F5}"/>
    <cellStyle name="Comma 10 5 17" xfId="514" xr:uid="{00000000-0005-0000-0000-000047020000}"/>
    <cellStyle name="Comma 10 5 17 2" xfId="1821" xr:uid="{00000000-0005-0000-0000-000048020000}"/>
    <cellStyle name="Comma 10 5 17 2 2" xfId="3215" xr:uid="{01E258B8-74E3-49B7-AFFB-5980811EB284}"/>
    <cellStyle name="Comma 10 5 17 3" xfId="2901" xr:uid="{0658679E-01C5-4C8E-81E1-C82C0A9B54A8}"/>
    <cellStyle name="Comma 10 5 18" xfId="1813" xr:uid="{00000000-0005-0000-0000-000049020000}"/>
    <cellStyle name="Comma 10 5 18 2" xfId="3207" xr:uid="{94AE3040-C991-4906-A253-6D588DAA4977}"/>
    <cellStyle name="Comma 10 5 19" xfId="2893" xr:uid="{6DD10D6B-C9CF-47D0-A176-2E890EE02A0F}"/>
    <cellStyle name="Comma 10 5 2" xfId="515" xr:uid="{00000000-0005-0000-0000-00004A020000}"/>
    <cellStyle name="Comma 10 5 2 2" xfId="1822" xr:uid="{00000000-0005-0000-0000-00004B020000}"/>
    <cellStyle name="Comma 10 5 2 2 2" xfId="3216" xr:uid="{9586611C-D5F4-4128-83AD-ECB6F614DD78}"/>
    <cellStyle name="Comma 10 5 2 3" xfId="2902" xr:uid="{5646949D-02E8-4A15-8AD9-67C14B2CF702}"/>
    <cellStyle name="Comma 10 5 3" xfId="516" xr:uid="{00000000-0005-0000-0000-00004C020000}"/>
    <cellStyle name="Comma 10 5 3 2" xfId="1823" xr:uid="{00000000-0005-0000-0000-00004D020000}"/>
    <cellStyle name="Comma 10 5 3 2 2" xfId="3217" xr:uid="{B10BD49C-6020-4C56-A138-94B965269B34}"/>
    <cellStyle name="Comma 10 5 3 3" xfId="2903" xr:uid="{756366A4-843D-4489-8BA2-F3AB4DCB4990}"/>
    <cellStyle name="Comma 10 5 4" xfId="517" xr:uid="{00000000-0005-0000-0000-00004E020000}"/>
    <cellStyle name="Comma 10 5 4 2" xfId="1824" xr:uid="{00000000-0005-0000-0000-00004F020000}"/>
    <cellStyle name="Comma 10 5 4 2 2" xfId="3218" xr:uid="{CD06382E-159E-46BA-933E-90062149C2D0}"/>
    <cellStyle name="Comma 10 5 4 3" xfId="2904" xr:uid="{E73135DF-E35E-4F35-ADFD-F89D2A8C7110}"/>
    <cellStyle name="Comma 10 5 5" xfId="518" xr:uid="{00000000-0005-0000-0000-000050020000}"/>
    <cellStyle name="Comma 10 5 5 2" xfId="1825" xr:uid="{00000000-0005-0000-0000-000051020000}"/>
    <cellStyle name="Comma 10 5 5 2 2" xfId="3219" xr:uid="{21B57892-F72D-47F4-8AB1-BE3471F6F92A}"/>
    <cellStyle name="Comma 10 5 5 3" xfId="2905" xr:uid="{EDF847C0-FC94-492D-BB08-A998BB0DD7D9}"/>
    <cellStyle name="Comma 10 5 6" xfId="519" xr:uid="{00000000-0005-0000-0000-000052020000}"/>
    <cellStyle name="Comma 10 5 6 2" xfId="1826" xr:uid="{00000000-0005-0000-0000-000053020000}"/>
    <cellStyle name="Comma 10 5 6 2 2" xfId="3220" xr:uid="{438C382A-08C4-4B41-B9E4-8E8BF4977493}"/>
    <cellStyle name="Comma 10 5 6 3" xfId="2906" xr:uid="{CE7247E0-CF39-4D3B-A7DC-AB6ADD4544F4}"/>
    <cellStyle name="Comma 10 5 7" xfId="520" xr:uid="{00000000-0005-0000-0000-000054020000}"/>
    <cellStyle name="Comma 10 5 7 2" xfId="1827" xr:uid="{00000000-0005-0000-0000-000055020000}"/>
    <cellStyle name="Comma 10 5 7 2 2" xfId="3221" xr:uid="{8C3F42FB-F69B-4572-9B2E-45701C72F054}"/>
    <cellStyle name="Comma 10 5 7 3" xfId="2907" xr:uid="{D9E999E5-D304-41F8-A6F7-9C9A31B6969E}"/>
    <cellStyle name="Comma 10 5 8" xfId="521" xr:uid="{00000000-0005-0000-0000-000056020000}"/>
    <cellStyle name="Comma 10 5 8 2" xfId="1828" xr:uid="{00000000-0005-0000-0000-000057020000}"/>
    <cellStyle name="Comma 10 5 8 2 2" xfId="3222" xr:uid="{B505AEFB-33D2-409C-81E4-4718E23776A1}"/>
    <cellStyle name="Comma 10 5 8 3" xfId="2908" xr:uid="{74A7C06D-650F-474C-BABF-706ACA63D1CE}"/>
    <cellStyle name="Comma 10 5 9" xfId="522" xr:uid="{00000000-0005-0000-0000-000058020000}"/>
    <cellStyle name="Comma 10 5 9 2" xfId="1829" xr:uid="{00000000-0005-0000-0000-000059020000}"/>
    <cellStyle name="Comma 10 5 9 2 2" xfId="3223" xr:uid="{BE8C2D03-6083-4F6B-AAD4-14E973860D62}"/>
    <cellStyle name="Comma 10 5 9 3" xfId="2909" xr:uid="{2EB677AF-D165-455E-BCD2-A010FC129665}"/>
    <cellStyle name="Comma 10 6" xfId="523" xr:uid="{00000000-0005-0000-0000-00005A020000}"/>
    <cellStyle name="Comma 10 6 10" xfId="524" xr:uid="{00000000-0005-0000-0000-00005B020000}"/>
    <cellStyle name="Comma 10 6 10 2" xfId="1831" xr:uid="{00000000-0005-0000-0000-00005C020000}"/>
    <cellStyle name="Comma 10 6 10 2 2" xfId="3225" xr:uid="{4908BBD2-A0DA-4DFB-A866-7F743300A40D}"/>
    <cellStyle name="Comma 10 6 10 3" xfId="2911" xr:uid="{950AE5EA-3C2E-493A-B4AB-F73CBC281ECF}"/>
    <cellStyle name="Comma 10 6 11" xfId="525" xr:uid="{00000000-0005-0000-0000-00005D020000}"/>
    <cellStyle name="Comma 10 6 11 2" xfId="1832" xr:uid="{00000000-0005-0000-0000-00005E020000}"/>
    <cellStyle name="Comma 10 6 11 2 2" xfId="3226" xr:uid="{676DCACB-BB91-49F4-B967-F842273A7FCB}"/>
    <cellStyle name="Comma 10 6 11 3" xfId="2912" xr:uid="{281608F3-9945-4AD9-9CA8-8FE1532054A9}"/>
    <cellStyle name="Comma 10 6 12" xfId="526" xr:uid="{00000000-0005-0000-0000-00005F020000}"/>
    <cellStyle name="Comma 10 6 12 2" xfId="1833" xr:uid="{00000000-0005-0000-0000-000060020000}"/>
    <cellStyle name="Comma 10 6 12 2 2" xfId="3227" xr:uid="{8B89C659-550C-4817-A754-53BFCC5733CB}"/>
    <cellStyle name="Comma 10 6 12 3" xfId="2913" xr:uid="{7B9D7DB2-F9DA-4B31-960B-1C2141C8A076}"/>
    <cellStyle name="Comma 10 6 13" xfId="527" xr:uid="{00000000-0005-0000-0000-000061020000}"/>
    <cellStyle name="Comma 10 6 13 2" xfId="1834" xr:uid="{00000000-0005-0000-0000-000062020000}"/>
    <cellStyle name="Comma 10 6 13 2 2" xfId="3228" xr:uid="{9CE07AC6-1238-4B08-8725-63DC0E1F5D18}"/>
    <cellStyle name="Comma 10 6 13 3" xfId="2914" xr:uid="{70286B36-9CE9-44AD-A6DB-D40024773151}"/>
    <cellStyle name="Comma 10 6 14" xfId="528" xr:uid="{00000000-0005-0000-0000-000063020000}"/>
    <cellStyle name="Comma 10 6 14 2" xfId="1835" xr:uid="{00000000-0005-0000-0000-000064020000}"/>
    <cellStyle name="Comma 10 6 14 2 2" xfId="3229" xr:uid="{E3DE6893-1636-4806-BFEC-D5A0C0BAFBBE}"/>
    <cellStyle name="Comma 10 6 14 3" xfId="2915" xr:uid="{020AD9D5-EC24-444C-9AD7-AA51108B5A59}"/>
    <cellStyle name="Comma 10 6 15" xfId="529" xr:uid="{00000000-0005-0000-0000-000065020000}"/>
    <cellStyle name="Comma 10 6 15 2" xfId="1836" xr:uid="{00000000-0005-0000-0000-000066020000}"/>
    <cellStyle name="Comma 10 6 15 2 2" xfId="3230" xr:uid="{A9E5B299-5659-44C1-919F-B253617FAB4F}"/>
    <cellStyle name="Comma 10 6 15 3" xfId="2916" xr:uid="{E0156B71-64CC-45BD-A3BA-780DEA2817E6}"/>
    <cellStyle name="Comma 10 6 16" xfId="530" xr:uid="{00000000-0005-0000-0000-000067020000}"/>
    <cellStyle name="Comma 10 6 16 2" xfId="1837" xr:uid="{00000000-0005-0000-0000-000068020000}"/>
    <cellStyle name="Comma 10 6 16 2 2" xfId="3231" xr:uid="{33649DD3-4E0C-4203-B306-FB8242BBBD50}"/>
    <cellStyle name="Comma 10 6 16 3" xfId="2917" xr:uid="{B3A8D4E4-497F-4ABB-89D0-4827273C6498}"/>
    <cellStyle name="Comma 10 6 17" xfId="531" xr:uid="{00000000-0005-0000-0000-000069020000}"/>
    <cellStyle name="Comma 10 6 17 2" xfId="1838" xr:uid="{00000000-0005-0000-0000-00006A020000}"/>
    <cellStyle name="Comma 10 6 17 2 2" xfId="3232" xr:uid="{69711381-2478-46A9-9900-5268D54CB637}"/>
    <cellStyle name="Comma 10 6 17 3" xfId="2918" xr:uid="{69096497-573A-4FAF-9C98-4A396593A86B}"/>
    <cellStyle name="Comma 10 6 18" xfId="1830" xr:uid="{00000000-0005-0000-0000-00006B020000}"/>
    <cellStyle name="Comma 10 6 18 2" xfId="3224" xr:uid="{754C3838-DDE7-4AC0-B51C-6B39A5441333}"/>
    <cellStyle name="Comma 10 6 19" xfId="2910" xr:uid="{1F0094F4-C437-4F8C-98DF-5713B014E29F}"/>
    <cellStyle name="Comma 10 6 2" xfId="532" xr:uid="{00000000-0005-0000-0000-00006C020000}"/>
    <cellStyle name="Comma 10 6 2 2" xfId="1839" xr:uid="{00000000-0005-0000-0000-00006D020000}"/>
    <cellStyle name="Comma 10 6 2 2 2" xfId="3233" xr:uid="{FA8CF742-31F2-4682-9608-24EF40D5DA01}"/>
    <cellStyle name="Comma 10 6 2 3" xfId="2919" xr:uid="{7D46913C-332D-48E8-8493-772A4758378D}"/>
    <cellStyle name="Comma 10 6 3" xfId="533" xr:uid="{00000000-0005-0000-0000-00006E020000}"/>
    <cellStyle name="Comma 10 6 3 2" xfId="1840" xr:uid="{00000000-0005-0000-0000-00006F020000}"/>
    <cellStyle name="Comma 10 6 3 2 2" xfId="3234" xr:uid="{0CD21404-C014-4CD4-967F-B782FD83DC26}"/>
    <cellStyle name="Comma 10 6 3 3" xfId="2920" xr:uid="{B6A332BD-6850-47D5-BB2B-576C915AD000}"/>
    <cellStyle name="Comma 10 6 4" xfId="534" xr:uid="{00000000-0005-0000-0000-000070020000}"/>
    <cellStyle name="Comma 10 6 4 2" xfId="1841" xr:uid="{00000000-0005-0000-0000-000071020000}"/>
    <cellStyle name="Comma 10 6 4 2 2" xfId="3235" xr:uid="{7EB7473B-76E3-46AE-AC39-809C75CF9AD1}"/>
    <cellStyle name="Comma 10 6 4 3" xfId="2921" xr:uid="{A8984FA0-0FFE-48E1-AD75-339D9D002311}"/>
    <cellStyle name="Comma 10 6 5" xfId="535" xr:uid="{00000000-0005-0000-0000-000072020000}"/>
    <cellStyle name="Comma 10 6 5 2" xfId="1842" xr:uid="{00000000-0005-0000-0000-000073020000}"/>
    <cellStyle name="Comma 10 6 5 2 2" xfId="3236" xr:uid="{3B66EDBB-4F2A-4278-8B6E-18F1587AC4EF}"/>
    <cellStyle name="Comma 10 6 5 3" xfId="2922" xr:uid="{EC732060-6A36-490A-AA0E-1ADF07B8E82B}"/>
    <cellStyle name="Comma 10 6 6" xfId="536" xr:uid="{00000000-0005-0000-0000-000074020000}"/>
    <cellStyle name="Comma 10 6 6 2" xfId="1843" xr:uid="{00000000-0005-0000-0000-000075020000}"/>
    <cellStyle name="Comma 10 6 6 2 2" xfId="3237" xr:uid="{30E10DCD-D8DE-4CB5-991C-4CD5C889949C}"/>
    <cellStyle name="Comma 10 6 6 3" xfId="2923" xr:uid="{2112CC80-CD31-4258-9073-494CD02C3905}"/>
    <cellStyle name="Comma 10 6 7" xfId="537" xr:uid="{00000000-0005-0000-0000-000076020000}"/>
    <cellStyle name="Comma 10 6 7 2" xfId="1844" xr:uid="{00000000-0005-0000-0000-000077020000}"/>
    <cellStyle name="Comma 10 6 7 2 2" xfId="3238" xr:uid="{890C6138-492F-42E1-BC48-DD72A92910A7}"/>
    <cellStyle name="Comma 10 6 7 3" xfId="2924" xr:uid="{39396E38-FC9C-4812-AF13-886E7B61AA74}"/>
    <cellStyle name="Comma 10 6 8" xfId="538" xr:uid="{00000000-0005-0000-0000-000078020000}"/>
    <cellStyle name="Comma 10 6 8 2" xfId="1845" xr:uid="{00000000-0005-0000-0000-000079020000}"/>
    <cellStyle name="Comma 10 6 8 2 2" xfId="3239" xr:uid="{51BE1D85-3641-408E-A2B1-C4EFA85CF325}"/>
    <cellStyle name="Comma 10 6 8 3" xfId="2925" xr:uid="{2E88BC5B-EF5D-4066-ACBF-BBB1F5D617E0}"/>
    <cellStyle name="Comma 10 6 9" xfId="539" xr:uid="{00000000-0005-0000-0000-00007A020000}"/>
    <cellStyle name="Comma 10 6 9 2" xfId="1846" xr:uid="{00000000-0005-0000-0000-00007B020000}"/>
    <cellStyle name="Comma 10 6 9 2 2" xfId="3240" xr:uid="{06B8531D-0CE0-4062-B0CC-E2FE03167840}"/>
    <cellStyle name="Comma 10 6 9 3" xfId="2926" xr:uid="{0934175F-0359-4DCE-96AB-19D2E5DC0409}"/>
    <cellStyle name="Comma 10 7" xfId="540" xr:uid="{00000000-0005-0000-0000-00007C020000}"/>
    <cellStyle name="Comma 10 7 10" xfId="541" xr:uid="{00000000-0005-0000-0000-00007D020000}"/>
    <cellStyle name="Comma 10 7 10 2" xfId="1848" xr:uid="{00000000-0005-0000-0000-00007E020000}"/>
    <cellStyle name="Comma 10 7 10 2 2" xfId="3242" xr:uid="{604C44A5-8612-4234-A8A5-B94E7F26AAFE}"/>
    <cellStyle name="Comma 10 7 10 3" xfId="2928" xr:uid="{31890900-DC26-49EB-A46F-85D329913DF0}"/>
    <cellStyle name="Comma 10 7 11" xfId="542" xr:uid="{00000000-0005-0000-0000-00007F020000}"/>
    <cellStyle name="Comma 10 7 11 2" xfId="1849" xr:uid="{00000000-0005-0000-0000-000080020000}"/>
    <cellStyle name="Comma 10 7 11 2 2" xfId="3243" xr:uid="{ED8D7A2D-F4CF-42D5-8F0F-E37FAB5DA0D3}"/>
    <cellStyle name="Comma 10 7 11 3" xfId="2929" xr:uid="{48111324-973F-4053-9B75-3D2256180967}"/>
    <cellStyle name="Comma 10 7 12" xfId="543" xr:uid="{00000000-0005-0000-0000-000081020000}"/>
    <cellStyle name="Comma 10 7 12 2" xfId="1850" xr:uid="{00000000-0005-0000-0000-000082020000}"/>
    <cellStyle name="Comma 10 7 12 2 2" xfId="3244" xr:uid="{99D3E3CC-8731-439B-AB12-1BAE589189B4}"/>
    <cellStyle name="Comma 10 7 12 3" xfId="2930" xr:uid="{58CB3319-B37D-444B-B0D4-D3E1D6FABBBC}"/>
    <cellStyle name="Comma 10 7 13" xfId="544" xr:uid="{00000000-0005-0000-0000-000083020000}"/>
    <cellStyle name="Comma 10 7 13 2" xfId="1851" xr:uid="{00000000-0005-0000-0000-000084020000}"/>
    <cellStyle name="Comma 10 7 13 2 2" xfId="3245" xr:uid="{0BB75CF1-2DFE-44F9-86A9-F2C9DBFC7321}"/>
    <cellStyle name="Comma 10 7 13 3" xfId="2931" xr:uid="{B41E2F21-1F4C-4E36-90D6-C7FEE87732AA}"/>
    <cellStyle name="Comma 10 7 14" xfId="545" xr:uid="{00000000-0005-0000-0000-000085020000}"/>
    <cellStyle name="Comma 10 7 14 2" xfId="1852" xr:uid="{00000000-0005-0000-0000-000086020000}"/>
    <cellStyle name="Comma 10 7 14 2 2" xfId="3246" xr:uid="{55C2AE0B-31A7-4CD0-AB89-ABDBD6F55B71}"/>
    <cellStyle name="Comma 10 7 14 3" xfId="2932" xr:uid="{136287C4-23C9-4A24-99CE-C38070B1A838}"/>
    <cellStyle name="Comma 10 7 15" xfId="546" xr:uid="{00000000-0005-0000-0000-000087020000}"/>
    <cellStyle name="Comma 10 7 15 2" xfId="1853" xr:uid="{00000000-0005-0000-0000-000088020000}"/>
    <cellStyle name="Comma 10 7 15 2 2" xfId="3247" xr:uid="{F8D69AD1-EFDF-4EFA-A31D-E82A8A0D0DEE}"/>
    <cellStyle name="Comma 10 7 15 3" xfId="2933" xr:uid="{09A8390A-DBA2-43E7-A945-ADA3A147ED69}"/>
    <cellStyle name="Comma 10 7 16" xfId="547" xr:uid="{00000000-0005-0000-0000-000089020000}"/>
    <cellStyle name="Comma 10 7 16 2" xfId="1854" xr:uid="{00000000-0005-0000-0000-00008A020000}"/>
    <cellStyle name="Comma 10 7 16 2 2" xfId="3248" xr:uid="{DCA159B5-2161-4095-ADE2-DEEC4A354CB4}"/>
    <cellStyle name="Comma 10 7 16 3" xfId="2934" xr:uid="{4C78F08C-595A-4DCE-87C5-8BE6AF14D2C4}"/>
    <cellStyle name="Comma 10 7 17" xfId="548" xr:uid="{00000000-0005-0000-0000-00008B020000}"/>
    <cellStyle name="Comma 10 7 17 2" xfId="1855" xr:uid="{00000000-0005-0000-0000-00008C020000}"/>
    <cellStyle name="Comma 10 7 17 2 2" xfId="3249" xr:uid="{589ED885-56BC-4A9D-BBF0-A9397AD48120}"/>
    <cellStyle name="Comma 10 7 17 3" xfId="2935" xr:uid="{5677B0C8-6F50-41E3-A17A-F5E7D10228D1}"/>
    <cellStyle name="Comma 10 7 18" xfId="1847" xr:uid="{00000000-0005-0000-0000-00008D020000}"/>
    <cellStyle name="Comma 10 7 18 2" xfId="3241" xr:uid="{C40BFAD5-2CC7-46DB-8873-9682A7F99211}"/>
    <cellStyle name="Comma 10 7 19" xfId="2927" xr:uid="{082EDFF1-C84C-4F09-BEB9-F7B9437284E6}"/>
    <cellStyle name="Comma 10 7 2" xfId="549" xr:uid="{00000000-0005-0000-0000-00008E020000}"/>
    <cellStyle name="Comma 10 7 2 2" xfId="1856" xr:uid="{00000000-0005-0000-0000-00008F020000}"/>
    <cellStyle name="Comma 10 7 2 2 2" xfId="3250" xr:uid="{BCC88DD3-FBB4-4178-B621-8BF225A9A762}"/>
    <cellStyle name="Comma 10 7 2 3" xfId="2936" xr:uid="{05A46260-FE47-4FD4-A84C-9F6D0D131777}"/>
    <cellStyle name="Comma 10 7 3" xfId="550" xr:uid="{00000000-0005-0000-0000-000090020000}"/>
    <cellStyle name="Comma 10 7 3 2" xfId="1857" xr:uid="{00000000-0005-0000-0000-000091020000}"/>
    <cellStyle name="Comma 10 7 3 2 2" xfId="3251" xr:uid="{7A7CF04B-3C99-4FFB-BD6E-2CB916BA6751}"/>
    <cellStyle name="Comma 10 7 3 3" xfId="2937" xr:uid="{8C53066B-CBFC-4ACD-9C02-3018191DD158}"/>
    <cellStyle name="Comma 10 7 4" xfId="551" xr:uid="{00000000-0005-0000-0000-000092020000}"/>
    <cellStyle name="Comma 10 7 4 2" xfId="1858" xr:uid="{00000000-0005-0000-0000-000093020000}"/>
    <cellStyle name="Comma 10 7 4 2 2" xfId="3252" xr:uid="{D75627CC-56A9-4F68-9877-76FEF100D87A}"/>
    <cellStyle name="Comma 10 7 4 3" xfId="2938" xr:uid="{7459179B-F86E-45F9-A926-F12289878B0D}"/>
    <cellStyle name="Comma 10 7 5" xfId="552" xr:uid="{00000000-0005-0000-0000-000094020000}"/>
    <cellStyle name="Comma 10 7 5 2" xfId="1859" xr:uid="{00000000-0005-0000-0000-000095020000}"/>
    <cellStyle name="Comma 10 7 5 2 2" xfId="3253" xr:uid="{C7DEF4FB-035C-4C83-A49B-C5ADDEE4BCE6}"/>
    <cellStyle name="Comma 10 7 5 3" xfId="2939" xr:uid="{B400F2AA-C51C-418B-8193-4EDC611A078B}"/>
    <cellStyle name="Comma 10 7 6" xfId="553" xr:uid="{00000000-0005-0000-0000-000096020000}"/>
    <cellStyle name="Comma 10 7 6 2" xfId="1860" xr:uid="{00000000-0005-0000-0000-000097020000}"/>
    <cellStyle name="Comma 10 7 6 2 2" xfId="3254" xr:uid="{B80C8BDA-36DC-463D-A638-BAE6A0B9D95B}"/>
    <cellStyle name="Comma 10 7 6 3" xfId="2940" xr:uid="{1DD383FC-CED8-44D8-A8F0-54E29DB03D2D}"/>
    <cellStyle name="Comma 10 7 7" xfId="554" xr:uid="{00000000-0005-0000-0000-000098020000}"/>
    <cellStyle name="Comma 10 7 7 2" xfId="1861" xr:uid="{00000000-0005-0000-0000-000099020000}"/>
    <cellStyle name="Comma 10 7 7 2 2" xfId="3255" xr:uid="{5D093312-7507-4138-971C-D8CFF7948AA5}"/>
    <cellStyle name="Comma 10 7 7 3" xfId="2941" xr:uid="{14EF5FCF-FFD8-42CC-A88B-5858D210D371}"/>
    <cellStyle name="Comma 10 7 8" xfId="555" xr:uid="{00000000-0005-0000-0000-00009A020000}"/>
    <cellStyle name="Comma 10 7 8 2" xfId="1862" xr:uid="{00000000-0005-0000-0000-00009B020000}"/>
    <cellStyle name="Comma 10 7 8 2 2" xfId="3256" xr:uid="{F4CACF74-EAB3-44E4-ABDE-45942C863964}"/>
    <cellStyle name="Comma 10 7 8 3" xfId="2942" xr:uid="{7519897C-B091-465C-85B4-48D5B538E3ED}"/>
    <cellStyle name="Comma 10 7 9" xfId="556" xr:uid="{00000000-0005-0000-0000-00009C020000}"/>
    <cellStyle name="Comma 10 7 9 2" xfId="1863" xr:uid="{00000000-0005-0000-0000-00009D020000}"/>
    <cellStyle name="Comma 10 7 9 2 2" xfId="3257" xr:uid="{CC48C54F-52A5-4171-A833-F6BE5DC7EE8D}"/>
    <cellStyle name="Comma 10 7 9 3" xfId="2943" xr:uid="{666E3F53-D398-4282-AF4E-A5CEA6219944}"/>
    <cellStyle name="Comma 10 8" xfId="557" xr:uid="{00000000-0005-0000-0000-00009E020000}"/>
    <cellStyle name="Comma 10 8 10" xfId="558" xr:uid="{00000000-0005-0000-0000-00009F020000}"/>
    <cellStyle name="Comma 10 8 10 2" xfId="1865" xr:uid="{00000000-0005-0000-0000-0000A0020000}"/>
    <cellStyle name="Comma 10 8 10 2 2" xfId="3259" xr:uid="{7F729A68-B735-4659-8C8E-4DB8143E5975}"/>
    <cellStyle name="Comma 10 8 10 3" xfId="2945" xr:uid="{7BFB14CB-8C9F-4677-A4A2-94191DFCCAB2}"/>
    <cellStyle name="Comma 10 8 11" xfId="559" xr:uid="{00000000-0005-0000-0000-0000A1020000}"/>
    <cellStyle name="Comma 10 8 11 2" xfId="1866" xr:uid="{00000000-0005-0000-0000-0000A2020000}"/>
    <cellStyle name="Comma 10 8 11 2 2" xfId="3260" xr:uid="{6642D991-DAE7-46C8-9C29-C16F009AB3E9}"/>
    <cellStyle name="Comma 10 8 11 3" xfId="2946" xr:uid="{052ECAD3-596C-4EC2-A30F-8E59241E48E1}"/>
    <cellStyle name="Comma 10 8 12" xfId="560" xr:uid="{00000000-0005-0000-0000-0000A3020000}"/>
    <cellStyle name="Comma 10 8 12 2" xfId="1867" xr:uid="{00000000-0005-0000-0000-0000A4020000}"/>
    <cellStyle name="Comma 10 8 12 2 2" xfId="3261" xr:uid="{9B73C42B-836D-4AD2-9B38-5126E806B06B}"/>
    <cellStyle name="Comma 10 8 12 3" xfId="2947" xr:uid="{4C8528D0-4E95-4FC9-BDD5-419DA6D152AF}"/>
    <cellStyle name="Comma 10 8 13" xfId="561" xr:uid="{00000000-0005-0000-0000-0000A5020000}"/>
    <cellStyle name="Comma 10 8 13 2" xfId="1868" xr:uid="{00000000-0005-0000-0000-0000A6020000}"/>
    <cellStyle name="Comma 10 8 13 2 2" xfId="3262" xr:uid="{783EE103-32AC-4AB8-A2FA-4733D0FF58E0}"/>
    <cellStyle name="Comma 10 8 13 3" xfId="2948" xr:uid="{ECED1AE0-2A6A-4D50-8F2C-FF9270C53353}"/>
    <cellStyle name="Comma 10 8 14" xfId="562" xr:uid="{00000000-0005-0000-0000-0000A7020000}"/>
    <cellStyle name="Comma 10 8 14 2" xfId="1869" xr:uid="{00000000-0005-0000-0000-0000A8020000}"/>
    <cellStyle name="Comma 10 8 14 2 2" xfId="3263" xr:uid="{C44C1B4F-A787-4E49-9B1A-FB725C9C4C6B}"/>
    <cellStyle name="Comma 10 8 14 3" xfId="2949" xr:uid="{CEDB7A7B-8262-44EE-A8A7-77345F58FE7B}"/>
    <cellStyle name="Comma 10 8 15" xfId="563" xr:uid="{00000000-0005-0000-0000-0000A9020000}"/>
    <cellStyle name="Comma 10 8 15 2" xfId="1870" xr:uid="{00000000-0005-0000-0000-0000AA020000}"/>
    <cellStyle name="Comma 10 8 15 2 2" xfId="3264" xr:uid="{62B68009-7054-40A1-B078-35176D799611}"/>
    <cellStyle name="Comma 10 8 15 3" xfId="2950" xr:uid="{8F8B2F22-29AB-4C6D-8847-A6EB7C44A518}"/>
    <cellStyle name="Comma 10 8 16" xfId="564" xr:uid="{00000000-0005-0000-0000-0000AB020000}"/>
    <cellStyle name="Comma 10 8 16 2" xfId="1871" xr:uid="{00000000-0005-0000-0000-0000AC020000}"/>
    <cellStyle name="Comma 10 8 16 2 2" xfId="3265" xr:uid="{2377A268-684A-42DD-B1AB-5764516FC45E}"/>
    <cellStyle name="Comma 10 8 16 3" xfId="2951" xr:uid="{5EB1F97D-5254-4CCE-A3DC-CC6184522EE5}"/>
    <cellStyle name="Comma 10 8 17" xfId="565" xr:uid="{00000000-0005-0000-0000-0000AD020000}"/>
    <cellStyle name="Comma 10 8 17 2" xfId="1872" xr:uid="{00000000-0005-0000-0000-0000AE020000}"/>
    <cellStyle name="Comma 10 8 17 2 2" xfId="3266" xr:uid="{253C52AC-E270-43E1-AAEF-54091CDB6887}"/>
    <cellStyle name="Comma 10 8 17 3" xfId="2952" xr:uid="{E067E009-B9D5-4DD9-9A40-107A09928B3B}"/>
    <cellStyle name="Comma 10 8 18" xfId="1864" xr:uid="{00000000-0005-0000-0000-0000AF020000}"/>
    <cellStyle name="Comma 10 8 18 2" xfId="3258" xr:uid="{9D799E4E-31EA-4C9C-ACBB-26AD3B2ABC4B}"/>
    <cellStyle name="Comma 10 8 19" xfId="2944" xr:uid="{2A4D01A8-5579-48D0-98ED-05868A0819F0}"/>
    <cellStyle name="Comma 10 8 2" xfId="566" xr:uid="{00000000-0005-0000-0000-0000B0020000}"/>
    <cellStyle name="Comma 10 8 2 2" xfId="1873" xr:uid="{00000000-0005-0000-0000-0000B1020000}"/>
    <cellStyle name="Comma 10 8 2 2 2" xfId="3267" xr:uid="{D32229BA-9333-4A89-A3CF-FD0A3B9C6C83}"/>
    <cellStyle name="Comma 10 8 2 3" xfId="2953" xr:uid="{061EB3C3-F8E7-4F10-8990-4311D1257D3C}"/>
    <cellStyle name="Comma 10 8 3" xfId="567" xr:uid="{00000000-0005-0000-0000-0000B2020000}"/>
    <cellStyle name="Comma 10 8 3 2" xfId="1874" xr:uid="{00000000-0005-0000-0000-0000B3020000}"/>
    <cellStyle name="Comma 10 8 3 2 2" xfId="3268" xr:uid="{D9689736-EAF6-4723-8896-3AF252389A70}"/>
    <cellStyle name="Comma 10 8 3 3" xfId="2954" xr:uid="{4989DAB0-2058-4916-AD3D-E97B1FCE8210}"/>
    <cellStyle name="Comma 10 8 4" xfId="568" xr:uid="{00000000-0005-0000-0000-0000B4020000}"/>
    <cellStyle name="Comma 10 8 4 2" xfId="1875" xr:uid="{00000000-0005-0000-0000-0000B5020000}"/>
    <cellStyle name="Comma 10 8 4 2 2" xfId="3269" xr:uid="{D7654051-9B24-44A8-9088-CB6D8492F2BC}"/>
    <cellStyle name="Comma 10 8 4 3" xfId="2955" xr:uid="{AFC8FCE0-6C82-45C5-A1D4-F10E16CB2F00}"/>
    <cellStyle name="Comma 10 8 5" xfId="569" xr:uid="{00000000-0005-0000-0000-0000B6020000}"/>
    <cellStyle name="Comma 10 8 5 2" xfId="1876" xr:uid="{00000000-0005-0000-0000-0000B7020000}"/>
    <cellStyle name="Comma 10 8 5 2 2" xfId="3270" xr:uid="{8927818B-A372-478A-BE62-EA04092DDE08}"/>
    <cellStyle name="Comma 10 8 5 3" xfId="2956" xr:uid="{C817C5AA-DDE7-4976-BF7E-72048CE29671}"/>
    <cellStyle name="Comma 10 8 6" xfId="570" xr:uid="{00000000-0005-0000-0000-0000B8020000}"/>
    <cellStyle name="Comma 10 8 6 2" xfId="1877" xr:uid="{00000000-0005-0000-0000-0000B9020000}"/>
    <cellStyle name="Comma 10 8 6 2 2" xfId="3271" xr:uid="{290503E7-9636-45D9-B095-4E0F3B089DC0}"/>
    <cellStyle name="Comma 10 8 6 3" xfId="2957" xr:uid="{E2C01265-24CA-4C1F-9E5C-00579FB6D025}"/>
    <cellStyle name="Comma 10 8 7" xfId="571" xr:uid="{00000000-0005-0000-0000-0000BA020000}"/>
    <cellStyle name="Comma 10 8 7 2" xfId="1878" xr:uid="{00000000-0005-0000-0000-0000BB020000}"/>
    <cellStyle name="Comma 10 8 7 2 2" xfId="3272" xr:uid="{010548D4-C956-43E9-97FE-55694FB088D3}"/>
    <cellStyle name="Comma 10 8 7 3" xfId="2958" xr:uid="{74F7F919-E97A-40E6-A481-F3E771A5FCF4}"/>
    <cellStyle name="Comma 10 8 8" xfId="572" xr:uid="{00000000-0005-0000-0000-0000BC020000}"/>
    <cellStyle name="Comma 10 8 8 2" xfId="1879" xr:uid="{00000000-0005-0000-0000-0000BD020000}"/>
    <cellStyle name="Comma 10 8 8 2 2" xfId="3273" xr:uid="{72876836-5A74-41AC-A85D-93F9030B33DD}"/>
    <cellStyle name="Comma 10 8 8 3" xfId="2959" xr:uid="{634DAA40-E14B-4322-B0C7-0C4943EB26D2}"/>
    <cellStyle name="Comma 10 8 9" xfId="573" xr:uid="{00000000-0005-0000-0000-0000BE020000}"/>
    <cellStyle name="Comma 10 8 9 2" xfId="1880" xr:uid="{00000000-0005-0000-0000-0000BF020000}"/>
    <cellStyle name="Comma 10 8 9 2 2" xfId="3274" xr:uid="{812150F6-3B8D-458F-A10B-1E564884AB50}"/>
    <cellStyle name="Comma 10 8 9 3" xfId="2960" xr:uid="{2FC6B23B-165B-498D-9654-09F1EEB9FC24}"/>
    <cellStyle name="Comma 2" xfId="574" xr:uid="{00000000-0005-0000-0000-0000C0020000}"/>
    <cellStyle name="Comma 2 10" xfId="575" xr:uid="{00000000-0005-0000-0000-0000C1020000}"/>
    <cellStyle name="Comma 2 10 2" xfId="1882" xr:uid="{00000000-0005-0000-0000-0000C2020000}"/>
    <cellStyle name="Comma 2 11" xfId="576" xr:uid="{00000000-0005-0000-0000-0000C3020000}"/>
    <cellStyle name="Comma 2 11 2" xfId="1883" xr:uid="{00000000-0005-0000-0000-0000C4020000}"/>
    <cellStyle name="Comma 2 12" xfId="577" xr:uid="{00000000-0005-0000-0000-0000C5020000}"/>
    <cellStyle name="Comma 2 12 2" xfId="1884" xr:uid="{00000000-0005-0000-0000-0000C6020000}"/>
    <cellStyle name="Comma 2 13" xfId="578" xr:uid="{00000000-0005-0000-0000-0000C7020000}"/>
    <cellStyle name="Comma 2 13 2" xfId="1885" xr:uid="{00000000-0005-0000-0000-0000C8020000}"/>
    <cellStyle name="Comma 2 14" xfId="579" xr:uid="{00000000-0005-0000-0000-0000C9020000}"/>
    <cellStyle name="Comma 2 14 2" xfId="1886" xr:uid="{00000000-0005-0000-0000-0000CA020000}"/>
    <cellStyle name="Comma 2 15" xfId="580" xr:uid="{00000000-0005-0000-0000-0000CB020000}"/>
    <cellStyle name="Comma 2 15 2" xfId="1887" xr:uid="{00000000-0005-0000-0000-0000CC020000}"/>
    <cellStyle name="Comma 2 16" xfId="581" xr:uid="{00000000-0005-0000-0000-0000CD020000}"/>
    <cellStyle name="Comma 2 16 2" xfId="1888" xr:uid="{00000000-0005-0000-0000-0000CE020000}"/>
    <cellStyle name="Comma 2 17" xfId="1881" xr:uid="{00000000-0005-0000-0000-0000CF020000}"/>
    <cellStyle name="Comma 2 18" xfId="2961" xr:uid="{AABB28C1-848A-42CF-9759-0CF7A46D01AC}"/>
    <cellStyle name="Comma 2 2" xfId="582" xr:uid="{00000000-0005-0000-0000-0000D0020000}"/>
    <cellStyle name="Comma 2 2 2" xfId="1889" xr:uid="{00000000-0005-0000-0000-0000D1020000}"/>
    <cellStyle name="Comma 2 3" xfId="583" xr:uid="{00000000-0005-0000-0000-0000D2020000}"/>
    <cellStyle name="Comma 2 3 2" xfId="1890" xr:uid="{00000000-0005-0000-0000-0000D3020000}"/>
    <cellStyle name="Comma 2 4" xfId="584" xr:uid="{00000000-0005-0000-0000-0000D4020000}"/>
    <cellStyle name="Comma 2 4 2" xfId="1891" xr:uid="{00000000-0005-0000-0000-0000D5020000}"/>
    <cellStyle name="Comma 2 5" xfId="585" xr:uid="{00000000-0005-0000-0000-0000D6020000}"/>
    <cellStyle name="Comma 2 5 2" xfId="1892" xr:uid="{00000000-0005-0000-0000-0000D7020000}"/>
    <cellStyle name="Comma 2 6" xfId="586" xr:uid="{00000000-0005-0000-0000-0000D8020000}"/>
    <cellStyle name="Comma 2 6 2" xfId="1893" xr:uid="{00000000-0005-0000-0000-0000D9020000}"/>
    <cellStyle name="Comma 2 7" xfId="587" xr:uid="{00000000-0005-0000-0000-0000DA020000}"/>
    <cellStyle name="Comma 2 7 2" xfId="1894" xr:uid="{00000000-0005-0000-0000-0000DB020000}"/>
    <cellStyle name="Comma 2 8" xfId="588" xr:uid="{00000000-0005-0000-0000-0000DC020000}"/>
    <cellStyle name="Comma 2 8 2" xfId="1895" xr:uid="{00000000-0005-0000-0000-0000DD020000}"/>
    <cellStyle name="Comma 2 9" xfId="589" xr:uid="{00000000-0005-0000-0000-0000DE020000}"/>
    <cellStyle name="Comma 2 9 2" xfId="1896" xr:uid="{00000000-0005-0000-0000-0000DF020000}"/>
    <cellStyle name="Comma 3" xfId="590" xr:uid="{00000000-0005-0000-0000-0000E0020000}"/>
    <cellStyle name="Comma 3 10" xfId="2962" xr:uid="{0A342313-1C1B-48CE-8431-75EA2AED3BE2}"/>
    <cellStyle name="Comma 3 2" xfId="591" xr:uid="{00000000-0005-0000-0000-0000E1020000}"/>
    <cellStyle name="Comma 3 2 2" xfId="1898" xr:uid="{00000000-0005-0000-0000-0000E2020000}"/>
    <cellStyle name="Comma 3 2 2 2" xfId="3276" xr:uid="{96220D44-4587-4DCB-9C9E-097BAD414421}"/>
    <cellStyle name="Comma 3 2 3" xfId="2963" xr:uid="{DAAC240F-5C02-4B43-995D-36C6441B78B3}"/>
    <cellStyle name="Comma 3 3" xfId="592" xr:uid="{00000000-0005-0000-0000-0000E3020000}"/>
    <cellStyle name="Comma 3 3 2" xfId="1899" xr:uid="{00000000-0005-0000-0000-0000E4020000}"/>
    <cellStyle name="Comma 3 3 2 2" xfId="3277" xr:uid="{671540E5-D7AB-4222-BBC8-E80480E0FB49}"/>
    <cellStyle name="Comma 3 3 3" xfId="2964" xr:uid="{B7D90DE4-30AD-41F6-8783-CBBEDD2D84AA}"/>
    <cellStyle name="Comma 3 4" xfId="593" xr:uid="{00000000-0005-0000-0000-0000E5020000}"/>
    <cellStyle name="Comma 3 4 2" xfId="1900" xr:uid="{00000000-0005-0000-0000-0000E6020000}"/>
    <cellStyle name="Comma 3 4 2 2" xfId="3278" xr:uid="{73371E7E-4DE6-4D37-A5CB-6A2F38E2DC3B}"/>
    <cellStyle name="Comma 3 4 3" xfId="2965" xr:uid="{FF6DB854-6002-430A-995A-12DC761028FB}"/>
    <cellStyle name="Comma 3 5" xfId="594" xr:uid="{00000000-0005-0000-0000-0000E7020000}"/>
    <cellStyle name="Comma 3 5 2" xfId="1901" xr:uid="{00000000-0005-0000-0000-0000E8020000}"/>
    <cellStyle name="Comma 3 5 2 2" xfId="3279" xr:uid="{76179340-B4A5-42F0-8834-FFD7B3C25F8B}"/>
    <cellStyle name="Comma 3 5 3" xfId="2966" xr:uid="{32C9AA81-D4BA-4BB9-AD1C-CF2E8F50C8DB}"/>
    <cellStyle name="Comma 3 6" xfId="595" xr:uid="{00000000-0005-0000-0000-0000E9020000}"/>
    <cellStyle name="Comma 3 6 2" xfId="1902" xr:uid="{00000000-0005-0000-0000-0000EA020000}"/>
    <cellStyle name="Comma 3 6 2 2" xfId="3280" xr:uid="{3734B2E1-472C-42CB-883D-C6805F201069}"/>
    <cellStyle name="Comma 3 6 3" xfId="2967" xr:uid="{3ECE3DAC-B72D-4D88-AE40-EC6DD1A0A5A1}"/>
    <cellStyle name="Comma 3 7" xfId="596" xr:uid="{00000000-0005-0000-0000-0000EB020000}"/>
    <cellStyle name="Comma 3 7 2" xfId="1903" xr:uid="{00000000-0005-0000-0000-0000EC020000}"/>
    <cellStyle name="Comma 3 7 2 2" xfId="3281" xr:uid="{43354B99-37AC-4DCA-9303-213C0C6C6723}"/>
    <cellStyle name="Comma 3 7 3" xfId="2968" xr:uid="{68C114A8-CDC5-405B-B262-4EC4FE75530D}"/>
    <cellStyle name="Comma 3 8" xfId="597" xr:uid="{00000000-0005-0000-0000-0000ED020000}"/>
    <cellStyle name="Comma 3 8 2" xfId="1904" xr:uid="{00000000-0005-0000-0000-0000EE020000}"/>
    <cellStyle name="Comma 3 8 2 2" xfId="3282" xr:uid="{3F1ADF00-8C00-4E4B-9E22-3997BCF305BD}"/>
    <cellStyle name="Comma 3 8 3" xfId="2969" xr:uid="{5B94BE38-2FC8-433C-88B5-409E0174F7FE}"/>
    <cellStyle name="Comma 3 9" xfId="1897" xr:uid="{00000000-0005-0000-0000-0000EF020000}"/>
    <cellStyle name="Comma 3 9 2" xfId="3275" xr:uid="{374F7475-8E5A-43CE-A9F8-24A1590CBB7C}"/>
    <cellStyle name="Comma 4" xfId="598" xr:uid="{00000000-0005-0000-0000-0000F0020000}"/>
    <cellStyle name="Comma 4 10" xfId="2970" xr:uid="{FAA7395E-7426-478F-8F21-7DB96164A3EF}"/>
    <cellStyle name="Comma 4 2" xfId="599" xr:uid="{00000000-0005-0000-0000-0000F1020000}"/>
    <cellStyle name="Comma 4 2 2" xfId="1906" xr:uid="{00000000-0005-0000-0000-0000F2020000}"/>
    <cellStyle name="Comma 4 2 2 2" xfId="3284" xr:uid="{763D8668-27FE-4117-A17A-7B44E77DF1BC}"/>
    <cellStyle name="Comma 4 2 3" xfId="2971" xr:uid="{EC650673-108D-4A32-A8D6-7B1E79856792}"/>
    <cellStyle name="Comma 4 3" xfId="600" xr:uid="{00000000-0005-0000-0000-0000F3020000}"/>
    <cellStyle name="Comma 4 3 2" xfId="1907" xr:uid="{00000000-0005-0000-0000-0000F4020000}"/>
    <cellStyle name="Comma 4 3 2 2" xfId="3285" xr:uid="{82EC2549-EAD0-442D-8B25-0D6555F89931}"/>
    <cellStyle name="Comma 4 3 3" xfId="2972" xr:uid="{2E3888D6-0A84-4FF4-BB38-EEAA44E87E8F}"/>
    <cellStyle name="Comma 4 4" xfId="601" xr:uid="{00000000-0005-0000-0000-0000F5020000}"/>
    <cellStyle name="Comma 4 4 2" xfId="1908" xr:uid="{00000000-0005-0000-0000-0000F6020000}"/>
    <cellStyle name="Comma 4 4 2 2" xfId="3286" xr:uid="{89D7918C-E11C-433F-AAD4-ED794F24460C}"/>
    <cellStyle name="Comma 4 4 3" xfId="2973" xr:uid="{F7432B91-6401-4517-8F79-22C7FE44E405}"/>
    <cellStyle name="Comma 4 5" xfId="602" xr:uid="{00000000-0005-0000-0000-0000F7020000}"/>
    <cellStyle name="Comma 4 5 2" xfId="1909" xr:uid="{00000000-0005-0000-0000-0000F8020000}"/>
    <cellStyle name="Comma 4 5 2 2" xfId="3287" xr:uid="{1EA54B6E-94E8-48F7-932C-A9B5366FA143}"/>
    <cellStyle name="Comma 4 5 3" xfId="2974" xr:uid="{79982293-97D7-42DE-B8F0-7C7378776BD6}"/>
    <cellStyle name="Comma 4 6" xfId="603" xr:uid="{00000000-0005-0000-0000-0000F9020000}"/>
    <cellStyle name="Comma 4 6 2" xfId="1910" xr:uid="{00000000-0005-0000-0000-0000FA020000}"/>
    <cellStyle name="Comma 4 6 2 2" xfId="3288" xr:uid="{300BC3F2-0CFE-4CD6-9FC2-9AD9D0C0D1C1}"/>
    <cellStyle name="Comma 4 6 3" xfId="2975" xr:uid="{2B69BFD8-E6EC-47A9-954D-E929601A1428}"/>
    <cellStyle name="Comma 4 7" xfId="604" xr:uid="{00000000-0005-0000-0000-0000FB020000}"/>
    <cellStyle name="Comma 4 7 2" xfId="1911" xr:uid="{00000000-0005-0000-0000-0000FC020000}"/>
    <cellStyle name="Comma 4 7 2 2" xfId="3289" xr:uid="{4E0921E9-1760-4156-98F8-54A696B705F8}"/>
    <cellStyle name="Comma 4 7 3" xfId="2976" xr:uid="{DA6F80DB-31D5-4100-8DBC-56AC7CE997A0}"/>
    <cellStyle name="Comma 4 8" xfId="605" xr:uid="{00000000-0005-0000-0000-0000FD020000}"/>
    <cellStyle name="Comma 4 8 2" xfId="1912" xr:uid="{00000000-0005-0000-0000-0000FE020000}"/>
    <cellStyle name="Comma 4 8 2 2" xfId="3290" xr:uid="{A5245AFC-34A5-48A4-AEC8-5DFF3B835266}"/>
    <cellStyle name="Comma 4 8 3" xfId="2977" xr:uid="{94B990A3-4B6F-4FCF-ABD3-A518D7310707}"/>
    <cellStyle name="Comma 4 9" xfId="1905" xr:uid="{00000000-0005-0000-0000-0000FF020000}"/>
    <cellStyle name="Comma 4 9 2" xfId="3283" xr:uid="{48D1C599-4B8C-40A0-884C-4410A2346557}"/>
    <cellStyle name="Comma 5" xfId="606" xr:uid="{00000000-0005-0000-0000-000000030000}"/>
    <cellStyle name="Comma 5 10" xfId="2978" xr:uid="{4DB3919E-E6A8-4DF4-BC3A-56C94DA53FEC}"/>
    <cellStyle name="Comma 5 2" xfId="607" xr:uid="{00000000-0005-0000-0000-000001030000}"/>
    <cellStyle name="Comma 5 2 2" xfId="1914" xr:uid="{00000000-0005-0000-0000-000002030000}"/>
    <cellStyle name="Comma 5 2 2 2" xfId="3292" xr:uid="{F411D518-0F92-4A68-ABEC-023A5D9B60CE}"/>
    <cellStyle name="Comma 5 2 3" xfId="2979" xr:uid="{0E2DBDDC-40E8-4F2D-B238-AAD8F895D87E}"/>
    <cellStyle name="Comma 5 3" xfId="608" xr:uid="{00000000-0005-0000-0000-000003030000}"/>
    <cellStyle name="Comma 5 3 2" xfId="1915" xr:uid="{00000000-0005-0000-0000-000004030000}"/>
    <cellStyle name="Comma 5 3 2 2" xfId="3293" xr:uid="{B7654A54-4C6C-40A7-86C5-5665EC219AD2}"/>
    <cellStyle name="Comma 5 3 3" xfId="2980" xr:uid="{BA2E08A0-61B5-44EC-A83F-F7E538F49485}"/>
    <cellStyle name="Comma 5 4" xfId="609" xr:uid="{00000000-0005-0000-0000-000005030000}"/>
    <cellStyle name="Comma 5 4 2" xfId="1916" xr:uid="{00000000-0005-0000-0000-000006030000}"/>
    <cellStyle name="Comma 5 4 2 2" xfId="3294" xr:uid="{4DA9BC1C-30D8-4868-A55E-AB62F1B1608B}"/>
    <cellStyle name="Comma 5 4 3" xfId="2981" xr:uid="{855FC597-DE7F-40C1-B5D8-2AD0EEFC2FBA}"/>
    <cellStyle name="Comma 5 5" xfId="610" xr:uid="{00000000-0005-0000-0000-000007030000}"/>
    <cellStyle name="Comma 5 5 2" xfId="1917" xr:uid="{00000000-0005-0000-0000-000008030000}"/>
    <cellStyle name="Comma 5 5 2 2" xfId="3295" xr:uid="{5E6E30AB-50B7-4DDD-9C14-4EFD410CD957}"/>
    <cellStyle name="Comma 5 5 3" xfId="2982" xr:uid="{79A162F9-4571-486B-8867-613381E566DE}"/>
    <cellStyle name="Comma 5 6" xfId="611" xr:uid="{00000000-0005-0000-0000-000009030000}"/>
    <cellStyle name="Comma 5 6 2" xfId="1918" xr:uid="{00000000-0005-0000-0000-00000A030000}"/>
    <cellStyle name="Comma 5 6 2 2" xfId="3296" xr:uid="{D62CC5E5-EF7C-4B94-A8B1-31277E58F976}"/>
    <cellStyle name="Comma 5 6 3" xfId="2983" xr:uid="{D5264DAF-EC01-49C9-878D-58D3E4CAAE8C}"/>
    <cellStyle name="Comma 5 7" xfId="612" xr:uid="{00000000-0005-0000-0000-00000B030000}"/>
    <cellStyle name="Comma 5 7 2" xfId="1919" xr:uid="{00000000-0005-0000-0000-00000C030000}"/>
    <cellStyle name="Comma 5 7 2 2" xfId="3297" xr:uid="{3395277B-8135-4FF0-B6EC-F3A2D709A3B7}"/>
    <cellStyle name="Comma 5 7 3" xfId="2984" xr:uid="{9D9E1BD5-9847-4DF7-9230-04644199B055}"/>
    <cellStyle name="Comma 5 8" xfId="613" xr:uid="{00000000-0005-0000-0000-00000D030000}"/>
    <cellStyle name="Comma 5 8 2" xfId="1920" xr:uid="{00000000-0005-0000-0000-00000E030000}"/>
    <cellStyle name="Comma 5 8 2 2" xfId="3298" xr:uid="{4F37A5C2-128D-4828-901A-D31A8394DD22}"/>
    <cellStyle name="Comma 5 8 3" xfId="2985" xr:uid="{7336CC93-9279-4113-AA8E-0E5570E275A2}"/>
    <cellStyle name="Comma 5 9" xfId="1913" xr:uid="{00000000-0005-0000-0000-00000F030000}"/>
    <cellStyle name="Comma 5 9 2" xfId="3291" xr:uid="{1E8AA754-E290-4461-844A-4FD00C82134F}"/>
    <cellStyle name="Comma 6" xfId="614" xr:uid="{00000000-0005-0000-0000-000010030000}"/>
    <cellStyle name="Comma 6 10" xfId="2986" xr:uid="{3BF3ED6D-8782-4E26-9C57-B837F797E69C}"/>
    <cellStyle name="Comma 6 2" xfId="615" xr:uid="{00000000-0005-0000-0000-000011030000}"/>
    <cellStyle name="Comma 6 2 2" xfId="1922" xr:uid="{00000000-0005-0000-0000-000012030000}"/>
    <cellStyle name="Comma 6 2 2 2" xfId="3300" xr:uid="{33CD1061-5FD5-407D-9BA5-E4E5EB164B91}"/>
    <cellStyle name="Comma 6 2 3" xfId="2987" xr:uid="{1C48F03F-AC02-417C-8EDE-998837ECA0C7}"/>
    <cellStyle name="Comma 6 3" xfId="616" xr:uid="{00000000-0005-0000-0000-000013030000}"/>
    <cellStyle name="Comma 6 3 2" xfId="1923" xr:uid="{00000000-0005-0000-0000-000014030000}"/>
    <cellStyle name="Comma 6 3 2 2" xfId="3301" xr:uid="{DD789CF6-76FF-44D9-9446-642FE03928E6}"/>
    <cellStyle name="Comma 6 3 3" xfId="2988" xr:uid="{ABF65231-1C81-456A-9F0D-8FD4F9AA8D96}"/>
    <cellStyle name="Comma 6 4" xfId="617" xr:uid="{00000000-0005-0000-0000-000015030000}"/>
    <cellStyle name="Comma 6 4 2" xfId="1924" xr:uid="{00000000-0005-0000-0000-000016030000}"/>
    <cellStyle name="Comma 6 4 2 2" xfId="3302" xr:uid="{D348FD50-126F-4B4C-9184-F6F110E1D17F}"/>
    <cellStyle name="Comma 6 4 3" xfId="2989" xr:uid="{92F5548B-E1D7-48CA-B074-A19BECD9D633}"/>
    <cellStyle name="Comma 6 5" xfId="618" xr:uid="{00000000-0005-0000-0000-000017030000}"/>
    <cellStyle name="Comma 6 5 2" xfId="1925" xr:uid="{00000000-0005-0000-0000-000018030000}"/>
    <cellStyle name="Comma 6 5 2 2" xfId="3303" xr:uid="{280E9933-ACB2-4738-9B64-985460A61EF0}"/>
    <cellStyle name="Comma 6 5 3" xfId="2990" xr:uid="{5D3652A9-2BDE-44EF-B253-0E6F32074B7B}"/>
    <cellStyle name="Comma 6 6" xfId="619" xr:uid="{00000000-0005-0000-0000-000019030000}"/>
    <cellStyle name="Comma 6 6 2" xfId="1926" xr:uid="{00000000-0005-0000-0000-00001A030000}"/>
    <cellStyle name="Comma 6 6 2 2" xfId="3304" xr:uid="{9CF76756-5DE5-40B8-8EF2-282B0059AF8F}"/>
    <cellStyle name="Comma 6 6 3" xfId="2991" xr:uid="{273756EB-78B7-4E17-B6A1-2B6A6FA795E9}"/>
    <cellStyle name="Comma 6 7" xfId="620" xr:uid="{00000000-0005-0000-0000-00001B030000}"/>
    <cellStyle name="Comma 6 7 2" xfId="1927" xr:uid="{00000000-0005-0000-0000-00001C030000}"/>
    <cellStyle name="Comma 6 7 2 2" xfId="3305" xr:uid="{01B315A3-4B43-4808-80FD-C637D49933D9}"/>
    <cellStyle name="Comma 6 7 3" xfId="2992" xr:uid="{1C9A666E-44B2-4B75-AB21-820D51287C6F}"/>
    <cellStyle name="Comma 6 8" xfId="621" xr:uid="{00000000-0005-0000-0000-00001D030000}"/>
    <cellStyle name="Comma 6 8 2" xfId="1928" xr:uid="{00000000-0005-0000-0000-00001E030000}"/>
    <cellStyle name="Comma 6 8 2 2" xfId="3306" xr:uid="{AEBB6509-A7B7-4F54-ADF4-F1DA61816068}"/>
    <cellStyle name="Comma 6 8 3" xfId="2993" xr:uid="{83CECA83-0212-466D-9DDF-CE01ABADD7AB}"/>
    <cellStyle name="Comma 6 9" xfId="1921" xr:uid="{00000000-0005-0000-0000-00001F030000}"/>
    <cellStyle name="Comma 6 9 2" xfId="3299" xr:uid="{5AE5CDBD-3935-459E-91CA-71B143710DDE}"/>
    <cellStyle name="Comma 7" xfId="622" xr:uid="{00000000-0005-0000-0000-000020030000}"/>
    <cellStyle name="Comma 7 10" xfId="623" xr:uid="{00000000-0005-0000-0000-000021030000}"/>
    <cellStyle name="Comma 7 10 2" xfId="1929" xr:uid="{00000000-0005-0000-0000-000022030000}"/>
    <cellStyle name="Comma 7 10 2 2" xfId="3307" xr:uid="{7D458C41-9DB5-4025-8498-5CD2232344AB}"/>
    <cellStyle name="Comma 7 10 3" xfId="2994" xr:uid="{16897B2D-B7D0-4662-9285-20E9FDDA9334}"/>
    <cellStyle name="Comma 7 11" xfId="624" xr:uid="{00000000-0005-0000-0000-000023030000}"/>
    <cellStyle name="Comma 7 11 2" xfId="1930" xr:uid="{00000000-0005-0000-0000-000024030000}"/>
    <cellStyle name="Comma 7 11 3" xfId="2995" xr:uid="{C0F1BF0F-7FAF-4CE0-A4AA-0E4099FE5CDE}"/>
    <cellStyle name="Comma 7 12" xfId="625" xr:uid="{00000000-0005-0000-0000-000025030000}"/>
    <cellStyle name="Comma 7 12 2" xfId="1931" xr:uid="{00000000-0005-0000-0000-000026030000}"/>
    <cellStyle name="Comma 7 12 2 2" xfId="3308" xr:uid="{7E13D177-1A25-4089-A136-647AEEA65EFD}"/>
    <cellStyle name="Comma 7 12 3" xfId="2996" xr:uid="{7C8CDA33-0007-4E8A-ABAD-BFD82A266CC6}"/>
    <cellStyle name="Comma 7 13" xfId="626" xr:uid="{00000000-0005-0000-0000-000027030000}"/>
    <cellStyle name="Comma 7 13 2" xfId="1932" xr:uid="{00000000-0005-0000-0000-000028030000}"/>
    <cellStyle name="Comma 7 13 2 2" xfId="3309" xr:uid="{15AB4776-A5E3-4DAF-89EC-62B0690D81AC}"/>
    <cellStyle name="Comma 7 13 3" xfId="2997" xr:uid="{03C88EE5-FA1E-4664-A514-5A58F624BDB3}"/>
    <cellStyle name="Comma 7 14" xfId="627" xr:uid="{00000000-0005-0000-0000-000029030000}"/>
    <cellStyle name="Comma 7 14 2" xfId="1933" xr:uid="{00000000-0005-0000-0000-00002A030000}"/>
    <cellStyle name="Comma 7 14 2 2" xfId="3310" xr:uid="{BAAF181E-3E39-4F79-B2F5-D7692BE937ED}"/>
    <cellStyle name="Comma 7 14 3" xfId="2998" xr:uid="{11D8944E-427F-469F-B910-4FBE1D419CDA}"/>
    <cellStyle name="Comma 7 15" xfId="628" xr:uid="{00000000-0005-0000-0000-00002B030000}"/>
    <cellStyle name="Comma 7 15 2" xfId="1934" xr:uid="{00000000-0005-0000-0000-00002C030000}"/>
    <cellStyle name="Comma 7 15 2 2" xfId="3311" xr:uid="{0E0BA3DA-DAD1-491E-A1A2-62AAB72C68AA}"/>
    <cellStyle name="Comma 7 15 3" xfId="2999" xr:uid="{8B912290-AC03-4F7A-BDC6-1B6993D90558}"/>
    <cellStyle name="Comma 7 16" xfId="629" xr:uid="{00000000-0005-0000-0000-00002D030000}"/>
    <cellStyle name="Comma 7 16 2" xfId="1935" xr:uid="{00000000-0005-0000-0000-00002E030000}"/>
    <cellStyle name="Comma 7 16 3" xfId="3000" xr:uid="{319CED17-6906-4056-B112-C6FCA8DB1207}"/>
    <cellStyle name="Comma 7 17" xfId="630" xr:uid="{00000000-0005-0000-0000-00002F030000}"/>
    <cellStyle name="Comma 7 17 2" xfId="1936" xr:uid="{00000000-0005-0000-0000-000030030000}"/>
    <cellStyle name="Comma 7 17 3" xfId="3001" xr:uid="{16AE7620-5158-47A4-B113-DEBEE74E18CE}"/>
    <cellStyle name="Comma 7 18" xfId="631" xr:uid="{00000000-0005-0000-0000-000031030000}"/>
    <cellStyle name="Comma 7 18 2" xfId="1937" xr:uid="{00000000-0005-0000-0000-000032030000}"/>
    <cellStyle name="Comma 7 18 3" xfId="3002" xr:uid="{7321C9B8-AE1F-4A5D-8E49-3163225B879D}"/>
    <cellStyle name="Comma 7 19" xfId="632" xr:uid="{00000000-0005-0000-0000-000033030000}"/>
    <cellStyle name="Comma 7 19 2" xfId="1938" xr:uid="{00000000-0005-0000-0000-000034030000}"/>
    <cellStyle name="Comma 7 19 3" xfId="3003" xr:uid="{206CD00E-E773-4D5C-B053-5D3BB371197A}"/>
    <cellStyle name="Comma 7 2" xfId="633" xr:uid="{00000000-0005-0000-0000-000035030000}"/>
    <cellStyle name="Comma 7 2 2" xfId="1939" xr:uid="{00000000-0005-0000-0000-000036030000}"/>
    <cellStyle name="Comma 7 2 2 2" xfId="3312" xr:uid="{F4CC22A3-8B08-4750-9F73-A07AC62A9512}"/>
    <cellStyle name="Comma 7 2 3" xfId="3004" xr:uid="{2388C6B9-54AC-4FAD-B5C8-D64403E1DE9E}"/>
    <cellStyle name="Comma 7 20" xfId="634" xr:uid="{00000000-0005-0000-0000-000037030000}"/>
    <cellStyle name="Comma 7 20 2" xfId="1940" xr:uid="{00000000-0005-0000-0000-000038030000}"/>
    <cellStyle name="Comma 7 20 3" xfId="3005" xr:uid="{71CF432C-1631-46B0-8559-3EE5BCD2452E}"/>
    <cellStyle name="Comma 7 21" xfId="635" xr:uid="{00000000-0005-0000-0000-000039030000}"/>
    <cellStyle name="Comma 7 21 2" xfId="1941" xr:uid="{00000000-0005-0000-0000-00003A030000}"/>
    <cellStyle name="Comma 7 21 3" xfId="3006" xr:uid="{AB922B3D-4BD9-47B6-B0D3-E857DCCDB356}"/>
    <cellStyle name="Comma 7 3" xfId="636" xr:uid="{00000000-0005-0000-0000-00003B030000}"/>
    <cellStyle name="Comma 7 3 10" xfId="637" xr:uid="{00000000-0005-0000-0000-00003C030000}"/>
    <cellStyle name="Comma 7 3 10 2" xfId="1943" xr:uid="{00000000-0005-0000-0000-00003D030000}"/>
    <cellStyle name="Comma 7 3 10 2 2" xfId="3313" xr:uid="{4CBE6DCE-56D5-4DF5-896F-A248A661A4DA}"/>
    <cellStyle name="Comma 7 3 10 3" xfId="3007" xr:uid="{1568FE52-DCD9-463B-9FF8-CD0CB74C2F70}"/>
    <cellStyle name="Comma 7 3 11" xfId="638" xr:uid="{00000000-0005-0000-0000-00003E030000}"/>
    <cellStyle name="Comma 7 3 11 2" xfId="1944" xr:uid="{00000000-0005-0000-0000-00003F030000}"/>
    <cellStyle name="Comma 7 3 11 2 2" xfId="3314" xr:uid="{4B1C378A-35F2-4102-8219-5B1E8992CBE8}"/>
    <cellStyle name="Comma 7 3 11 3" xfId="3008" xr:uid="{5FEA4816-BB57-4E6B-99CC-687645D43A08}"/>
    <cellStyle name="Comma 7 3 12" xfId="639" xr:uid="{00000000-0005-0000-0000-000040030000}"/>
    <cellStyle name="Comma 7 3 12 2" xfId="1945" xr:uid="{00000000-0005-0000-0000-000041030000}"/>
    <cellStyle name="Comma 7 3 12 2 2" xfId="3315" xr:uid="{735550E7-2D0E-421F-BD9D-9CE15B82821C}"/>
    <cellStyle name="Comma 7 3 12 3" xfId="3009" xr:uid="{0D45470A-EECF-4B8E-9FFE-02F5F14FFB84}"/>
    <cellStyle name="Comma 7 3 13" xfId="640" xr:uid="{00000000-0005-0000-0000-000042030000}"/>
    <cellStyle name="Comma 7 3 13 2" xfId="1946" xr:uid="{00000000-0005-0000-0000-000043030000}"/>
    <cellStyle name="Comma 7 3 13 2 2" xfId="3316" xr:uid="{62E063E8-7EF2-4B33-950C-70ABCB095F30}"/>
    <cellStyle name="Comma 7 3 13 3" xfId="3010" xr:uid="{69B071CE-EAC0-46AB-A405-E9BF7AAE2F53}"/>
    <cellStyle name="Comma 7 3 14" xfId="641" xr:uid="{00000000-0005-0000-0000-000044030000}"/>
    <cellStyle name="Comma 7 3 14 2" xfId="1947" xr:uid="{00000000-0005-0000-0000-000045030000}"/>
    <cellStyle name="Comma 7 3 14 2 2" xfId="3317" xr:uid="{70E443F4-7A67-4206-9AA6-05E06080A48A}"/>
    <cellStyle name="Comma 7 3 14 3" xfId="3011" xr:uid="{B42DD588-8E9E-42F0-ABE5-6FC939946A8C}"/>
    <cellStyle name="Comma 7 3 15" xfId="642" xr:uid="{00000000-0005-0000-0000-000046030000}"/>
    <cellStyle name="Comma 7 3 15 2" xfId="1948" xr:uid="{00000000-0005-0000-0000-000047030000}"/>
    <cellStyle name="Comma 7 3 15 2 2" xfId="3318" xr:uid="{D2B77A75-45C1-4E31-BB99-B251BC4C6838}"/>
    <cellStyle name="Comma 7 3 15 3" xfId="3012" xr:uid="{91D480A0-F128-4E6D-A537-F99D02D8AAB8}"/>
    <cellStyle name="Comma 7 3 16" xfId="1942" xr:uid="{00000000-0005-0000-0000-000048030000}"/>
    <cellStyle name="Comma 7 3 2" xfId="643" xr:uid="{00000000-0005-0000-0000-000049030000}"/>
    <cellStyle name="Comma 7 3 2 2" xfId="1949" xr:uid="{00000000-0005-0000-0000-00004A030000}"/>
    <cellStyle name="Comma 7 3 2 2 2" xfId="3319" xr:uid="{2FC4ABAE-FE35-43A6-A13B-62290371C5E7}"/>
    <cellStyle name="Comma 7 3 2 3" xfId="3013" xr:uid="{BCC00592-063F-49AD-ABCD-FF1DE40A6272}"/>
    <cellStyle name="Comma 7 3 3" xfId="644" xr:uid="{00000000-0005-0000-0000-00004B030000}"/>
    <cellStyle name="Comma 7 3 3 2" xfId="1950" xr:uid="{00000000-0005-0000-0000-00004C030000}"/>
    <cellStyle name="Comma 7 3 3 2 2" xfId="3320" xr:uid="{5EE85590-DD76-49BC-B565-0EF383B81DED}"/>
    <cellStyle name="Comma 7 3 3 3" xfId="3014" xr:uid="{5DB931A4-03ED-4040-A403-90C998DEC929}"/>
    <cellStyle name="Comma 7 3 4" xfId="645" xr:uid="{00000000-0005-0000-0000-00004D030000}"/>
    <cellStyle name="Comma 7 3 4 2" xfId="1951" xr:uid="{00000000-0005-0000-0000-00004E030000}"/>
    <cellStyle name="Comma 7 3 4 2 2" xfId="3321" xr:uid="{0548D57E-4881-4792-975D-139027772303}"/>
    <cellStyle name="Comma 7 3 4 3" xfId="3015" xr:uid="{9E1F55A2-E5E0-4B92-BF77-49D6B3294F0E}"/>
    <cellStyle name="Comma 7 3 5" xfId="646" xr:uid="{00000000-0005-0000-0000-00004F030000}"/>
    <cellStyle name="Comma 7 3 5 2" xfId="1952" xr:uid="{00000000-0005-0000-0000-000050030000}"/>
    <cellStyle name="Comma 7 3 5 2 2" xfId="3322" xr:uid="{F15A4475-EBFA-41BE-95EF-5A8B8A524915}"/>
    <cellStyle name="Comma 7 3 5 3" xfId="3016" xr:uid="{7E0A5D46-EBEF-4AC0-B2F5-042CF8FECA52}"/>
    <cellStyle name="Comma 7 3 6" xfId="647" xr:uid="{00000000-0005-0000-0000-000051030000}"/>
    <cellStyle name="Comma 7 3 6 2" xfId="1953" xr:uid="{00000000-0005-0000-0000-000052030000}"/>
    <cellStyle name="Comma 7 3 6 2 2" xfId="3323" xr:uid="{D90149EC-5872-4B49-A393-1180412D99E3}"/>
    <cellStyle name="Comma 7 3 6 3" xfId="3017" xr:uid="{5B1BF708-A6BB-4491-BCCB-4FD5D4134E11}"/>
    <cellStyle name="Comma 7 3 7" xfId="648" xr:uid="{00000000-0005-0000-0000-000053030000}"/>
    <cellStyle name="Comma 7 3 7 2" xfId="1954" xr:uid="{00000000-0005-0000-0000-000054030000}"/>
    <cellStyle name="Comma 7 3 7 2 2" xfId="3324" xr:uid="{283A6FCB-EBA3-48B0-BC47-4C7AFEF7616C}"/>
    <cellStyle name="Comma 7 3 7 3" xfId="3018" xr:uid="{8CE482DA-1878-4334-B2C3-AFEEE279348E}"/>
    <cellStyle name="Comma 7 3 8" xfId="649" xr:uid="{00000000-0005-0000-0000-000055030000}"/>
    <cellStyle name="Comma 7 3 8 2" xfId="1955" xr:uid="{00000000-0005-0000-0000-000056030000}"/>
    <cellStyle name="Comma 7 3 8 2 2" xfId="3325" xr:uid="{7FCFA7E3-F604-4675-A278-DD2C6748083D}"/>
    <cellStyle name="Comma 7 3 8 3" xfId="3019" xr:uid="{E97D8165-8785-49E7-894F-840A88F3CD25}"/>
    <cellStyle name="Comma 7 3 9" xfId="650" xr:uid="{00000000-0005-0000-0000-000057030000}"/>
    <cellStyle name="Comma 7 3 9 2" xfId="1956" xr:uid="{00000000-0005-0000-0000-000058030000}"/>
    <cellStyle name="Comma 7 3 9 2 2" xfId="3326" xr:uid="{6A5A2793-4750-45C3-8BE9-465977140C38}"/>
    <cellStyle name="Comma 7 3 9 3" xfId="3020" xr:uid="{1E6BA870-C498-4E27-8A44-46F4E494AC47}"/>
    <cellStyle name="Comma 7 4" xfId="651" xr:uid="{00000000-0005-0000-0000-000059030000}"/>
    <cellStyle name="Comma 7 4 2" xfId="1957" xr:uid="{00000000-0005-0000-0000-00005A030000}"/>
    <cellStyle name="Comma 7 4 2 2" xfId="3327" xr:uid="{DD7D1525-844C-48FF-B862-0E6B62A21438}"/>
    <cellStyle name="Comma 7 4 3" xfId="3021" xr:uid="{C53DB72B-437A-413A-8F55-3357142FA8EA}"/>
    <cellStyle name="Comma 7 5" xfId="652" xr:uid="{00000000-0005-0000-0000-00005B030000}"/>
    <cellStyle name="Comma 7 5 2" xfId="1958" xr:uid="{00000000-0005-0000-0000-00005C030000}"/>
    <cellStyle name="Comma 7 5 2 2" xfId="3328" xr:uid="{4D9ED421-E0D0-41C4-8774-2ED664681264}"/>
    <cellStyle name="Comma 7 5 3" xfId="3022" xr:uid="{1E9AB5EA-E7F2-41DC-805B-852AE0B504F3}"/>
    <cellStyle name="Comma 7 6" xfId="653" xr:uid="{00000000-0005-0000-0000-00005D030000}"/>
    <cellStyle name="Comma 7 6 2" xfId="1959" xr:uid="{00000000-0005-0000-0000-00005E030000}"/>
    <cellStyle name="Comma 7 6 2 2" xfId="3329" xr:uid="{6D366350-5B18-4DB9-9C35-2B8DC881B14A}"/>
    <cellStyle name="Comma 7 6 3" xfId="3023" xr:uid="{34252227-965D-4A4F-871D-1581004B0D85}"/>
    <cellStyle name="Comma 7 7" xfId="654" xr:uid="{00000000-0005-0000-0000-00005F030000}"/>
    <cellStyle name="Comma 7 7 2" xfId="1960" xr:uid="{00000000-0005-0000-0000-000060030000}"/>
    <cellStyle name="Comma 7 7 2 2" xfId="3330" xr:uid="{37563FCD-4246-4450-8AEA-CE09FCB4515C}"/>
    <cellStyle name="Comma 7 7 3" xfId="3024" xr:uid="{D57825AE-07E9-4513-8AA2-712E03C04250}"/>
    <cellStyle name="Comma 7 8" xfId="655" xr:uid="{00000000-0005-0000-0000-000061030000}"/>
    <cellStyle name="Comma 7 8 2" xfId="1961" xr:uid="{00000000-0005-0000-0000-000062030000}"/>
    <cellStyle name="Comma 7 8 2 2" xfId="3331" xr:uid="{9B48C8FB-5729-4FC8-9E18-0C95F13B60E7}"/>
    <cellStyle name="Comma 7 8 3" xfId="3025" xr:uid="{A306CA18-79B4-441A-AA39-BD0B34D90531}"/>
    <cellStyle name="Comma 7 9" xfId="656" xr:uid="{00000000-0005-0000-0000-000063030000}"/>
    <cellStyle name="Comma 7 9 2" xfId="1962" xr:uid="{00000000-0005-0000-0000-000064030000}"/>
    <cellStyle name="Comma 7 9 2 2" xfId="3332" xr:uid="{5D610E0B-BCE8-487E-8639-6EC82B9D8807}"/>
    <cellStyle name="Comma 7 9 3" xfId="3026" xr:uid="{C6319790-1DEF-44DF-8678-DE0173A8EA6E}"/>
    <cellStyle name="Comma 8" xfId="657" xr:uid="{00000000-0005-0000-0000-000065030000}"/>
    <cellStyle name="Comma 8 2" xfId="658" xr:uid="{00000000-0005-0000-0000-000066030000}"/>
    <cellStyle name="Comma 8 2 2" xfId="1963" xr:uid="{00000000-0005-0000-0000-000067030000}"/>
    <cellStyle name="Comma 8 2 3" xfId="3027" xr:uid="{29DD9BDE-20B9-411F-A96B-37E5F26BDCCF}"/>
    <cellStyle name="Comma 8 3" xfId="659" xr:uid="{00000000-0005-0000-0000-000068030000}"/>
    <cellStyle name="Comma 8 3 2" xfId="1964" xr:uid="{00000000-0005-0000-0000-000069030000}"/>
    <cellStyle name="Comma 8 3 3" xfId="3028" xr:uid="{D8744AEE-6F08-43E6-9AFB-BEC8EC89A4BF}"/>
    <cellStyle name="Comma 8 4" xfId="660" xr:uid="{00000000-0005-0000-0000-00006A030000}"/>
    <cellStyle name="Comma 8 4 2" xfId="1965" xr:uid="{00000000-0005-0000-0000-00006B030000}"/>
    <cellStyle name="Comma 8 4 3" xfId="3029" xr:uid="{486AB3CC-39EB-41C2-B7CD-87BE4D1DC41D}"/>
    <cellStyle name="Comma 8 5" xfId="661" xr:uid="{00000000-0005-0000-0000-00006C030000}"/>
    <cellStyle name="Comma 8 5 2" xfId="1966" xr:uid="{00000000-0005-0000-0000-00006D030000}"/>
    <cellStyle name="Comma 8 5 3" xfId="3030" xr:uid="{F7798AE9-EA3E-407F-A3A5-84E5262E04F6}"/>
    <cellStyle name="Comma 8 6" xfId="662" xr:uid="{00000000-0005-0000-0000-00006E030000}"/>
    <cellStyle name="Comma 8 6 2" xfId="1967" xr:uid="{00000000-0005-0000-0000-00006F030000}"/>
    <cellStyle name="Comma 8 6 3" xfId="3031" xr:uid="{138D5CDA-3740-43D0-891E-0A9200EE643B}"/>
    <cellStyle name="Comma 8 7" xfId="663" xr:uid="{00000000-0005-0000-0000-000070030000}"/>
    <cellStyle name="Comma 8 7 2" xfId="1968" xr:uid="{00000000-0005-0000-0000-000071030000}"/>
    <cellStyle name="Comma 8 7 3" xfId="3032" xr:uid="{C7EABA7A-2B84-40BA-BC3B-A3D098B88434}"/>
    <cellStyle name="Comma 8 8" xfId="664" xr:uid="{00000000-0005-0000-0000-000072030000}"/>
    <cellStyle name="Comma 8 8 2" xfId="1969" xr:uid="{00000000-0005-0000-0000-000073030000}"/>
    <cellStyle name="Comma 8 8 3" xfId="3033" xr:uid="{A444095D-5D03-4562-9474-4FB557B98675}"/>
    <cellStyle name="Comma 9 2" xfId="665" xr:uid="{00000000-0005-0000-0000-000074030000}"/>
    <cellStyle name="Comma 9 2 2" xfId="1970" xr:uid="{00000000-0005-0000-0000-000075030000}"/>
    <cellStyle name="Comma 9 2 2 2" xfId="3333" xr:uid="{50043774-77F1-4B3F-BEF6-78026D22130E}"/>
    <cellStyle name="Comma 9 2 3" xfId="3034" xr:uid="{9A6916C9-88CB-48AC-BFBF-90E174B6B692}"/>
    <cellStyle name="Comma 9 3" xfId="666" xr:uid="{00000000-0005-0000-0000-000076030000}"/>
    <cellStyle name="Comma 9 3 2" xfId="3035" xr:uid="{1DA043D5-3E42-4411-8D97-B5CC5AC6061A}"/>
    <cellStyle name="Comma 9 4" xfId="667" xr:uid="{00000000-0005-0000-0000-000077030000}"/>
    <cellStyle name="Comma 9 4 2" xfId="3036" xr:uid="{E84D722D-0BEF-4E82-BF83-1882A4FC2876}"/>
    <cellStyle name="Comma 9 5" xfId="668" xr:uid="{00000000-0005-0000-0000-000078030000}"/>
    <cellStyle name="Comma 9 5 2" xfId="3037" xr:uid="{E8A03ED3-43B1-49D1-9F1F-4939B24434AB}"/>
    <cellStyle name="Comma 9 6" xfId="669" xr:uid="{00000000-0005-0000-0000-000079030000}"/>
    <cellStyle name="Comma 9 6 2" xfId="3038" xr:uid="{B71FACEF-1E4E-45EE-8B8D-CFF94FCB1098}"/>
    <cellStyle name="Comma 9 7" xfId="670" xr:uid="{00000000-0005-0000-0000-00007A030000}"/>
    <cellStyle name="Comma 9 7 2" xfId="3039" xr:uid="{42C8CA67-F0EE-480B-8D7D-05267A4C587B}"/>
    <cellStyle name="Comma 9 8" xfId="671" xr:uid="{00000000-0005-0000-0000-00007B030000}"/>
    <cellStyle name="Comma 9 8 2" xfId="3040" xr:uid="{ABA22D3A-A01A-4CFE-841F-CECF28C3FE72}"/>
    <cellStyle name="Comma 9 9" xfId="672" xr:uid="{00000000-0005-0000-0000-00007C030000}"/>
    <cellStyle name="Comma 9 9 2" xfId="3041" xr:uid="{81B4549E-92D1-4262-AE2E-5EA503451CE2}"/>
    <cellStyle name="Currency 2 2" xfId="673" xr:uid="{00000000-0005-0000-0000-00007D030000}"/>
    <cellStyle name="Currency 2 2 2" xfId="1971" xr:uid="{00000000-0005-0000-0000-00007E030000}"/>
    <cellStyle name="CustomizationCells" xfId="674" xr:uid="{00000000-0005-0000-0000-00007F030000}"/>
    <cellStyle name="Date" xfId="675" xr:uid="{00000000-0005-0000-0000-000080030000}"/>
    <cellStyle name="Date 2" xfId="676" xr:uid="{00000000-0005-0000-0000-000081030000}"/>
    <cellStyle name="donn_normal" xfId="677" xr:uid="{00000000-0005-0000-0000-000082030000}"/>
    <cellStyle name="ent_col_ser" xfId="678" xr:uid="{00000000-0005-0000-0000-000083030000}"/>
    <cellStyle name="entete_source" xfId="679" xr:uid="{00000000-0005-0000-0000-000084030000}"/>
    <cellStyle name="Euro" xfId="680" xr:uid="{00000000-0005-0000-0000-000085030000}"/>
    <cellStyle name="Euro 2" xfId="681" xr:uid="{00000000-0005-0000-0000-000086030000}"/>
    <cellStyle name="Euro 2 2" xfId="682" xr:uid="{00000000-0005-0000-0000-000087030000}"/>
    <cellStyle name="Euro 2 2 2" xfId="683" xr:uid="{00000000-0005-0000-0000-000088030000}"/>
    <cellStyle name="Euro 2 2 2 2" xfId="1975" xr:uid="{00000000-0005-0000-0000-000089030000}"/>
    <cellStyle name="Euro 2 2 3" xfId="1974" xr:uid="{00000000-0005-0000-0000-00008A030000}"/>
    <cellStyle name="Euro 2 3" xfId="684" xr:uid="{00000000-0005-0000-0000-00008B030000}"/>
    <cellStyle name="Euro 2 3 2" xfId="1976" xr:uid="{00000000-0005-0000-0000-00008C030000}"/>
    <cellStyle name="Euro 2 4" xfId="1973" xr:uid="{00000000-0005-0000-0000-00008D030000}"/>
    <cellStyle name="Euro 3" xfId="685" xr:uid="{00000000-0005-0000-0000-00008E030000}"/>
    <cellStyle name="Euro 3 2" xfId="1977" xr:uid="{00000000-0005-0000-0000-00008F030000}"/>
    <cellStyle name="Euro 4" xfId="686" xr:uid="{00000000-0005-0000-0000-000090030000}"/>
    <cellStyle name="Euro 4 2" xfId="1978" xr:uid="{00000000-0005-0000-0000-000091030000}"/>
    <cellStyle name="Euro 5" xfId="1972" xr:uid="{00000000-0005-0000-0000-000092030000}"/>
    <cellStyle name="Explanatory Text 2" xfId="687" xr:uid="{00000000-0005-0000-0000-000093030000}"/>
    <cellStyle name="Explanatory Text 2 10" xfId="688" xr:uid="{00000000-0005-0000-0000-000094030000}"/>
    <cellStyle name="Explanatory Text 2 2" xfId="689" xr:uid="{00000000-0005-0000-0000-000095030000}"/>
    <cellStyle name="Explanatory Text 2 3" xfId="690" xr:uid="{00000000-0005-0000-0000-000096030000}"/>
    <cellStyle name="Explanatory Text 2 4" xfId="691" xr:uid="{00000000-0005-0000-0000-000097030000}"/>
    <cellStyle name="Explanatory Text 2 5" xfId="692" xr:uid="{00000000-0005-0000-0000-000098030000}"/>
    <cellStyle name="Explanatory Text 2 6" xfId="693" xr:uid="{00000000-0005-0000-0000-000099030000}"/>
    <cellStyle name="Explanatory Text 2 7" xfId="694" xr:uid="{00000000-0005-0000-0000-00009A030000}"/>
    <cellStyle name="Explanatory Text 2 8" xfId="695" xr:uid="{00000000-0005-0000-0000-00009B030000}"/>
    <cellStyle name="Explanatory Text 2 9" xfId="696" xr:uid="{00000000-0005-0000-0000-00009C030000}"/>
    <cellStyle name="Explanatory Text 3" xfId="697" xr:uid="{00000000-0005-0000-0000-00009D030000}"/>
    <cellStyle name="Fixed" xfId="698" xr:uid="{00000000-0005-0000-0000-00009E030000}"/>
    <cellStyle name="Fixed 2" xfId="699" xr:uid="{00000000-0005-0000-0000-00009F030000}"/>
    <cellStyle name="Good 2" xfId="700" xr:uid="{00000000-0005-0000-0000-0000A0030000}"/>
    <cellStyle name="Good 2 10" xfId="701" xr:uid="{00000000-0005-0000-0000-0000A1030000}"/>
    <cellStyle name="Good 2 2" xfId="702" xr:uid="{00000000-0005-0000-0000-0000A2030000}"/>
    <cellStyle name="Good 2 3" xfId="703" xr:uid="{00000000-0005-0000-0000-0000A3030000}"/>
    <cellStyle name="Good 2 4" xfId="704" xr:uid="{00000000-0005-0000-0000-0000A4030000}"/>
    <cellStyle name="Good 2 5" xfId="705" xr:uid="{00000000-0005-0000-0000-0000A5030000}"/>
    <cellStyle name="Good 2 6" xfId="706" xr:uid="{00000000-0005-0000-0000-0000A6030000}"/>
    <cellStyle name="Good 2 7" xfId="707" xr:uid="{00000000-0005-0000-0000-0000A7030000}"/>
    <cellStyle name="Good 2 8" xfId="708" xr:uid="{00000000-0005-0000-0000-0000A8030000}"/>
    <cellStyle name="Good 2 9" xfId="709" xr:uid="{00000000-0005-0000-0000-0000A9030000}"/>
    <cellStyle name="Good 3" xfId="710" xr:uid="{00000000-0005-0000-0000-0000AA030000}"/>
    <cellStyle name="Good 3 2" xfId="711" xr:uid="{00000000-0005-0000-0000-0000AB030000}"/>
    <cellStyle name="Heading 1 2" xfId="712" xr:uid="{00000000-0005-0000-0000-0000AC030000}"/>
    <cellStyle name="Heading 1 2 10" xfId="713" xr:uid="{00000000-0005-0000-0000-0000AD030000}"/>
    <cellStyle name="Heading 1 2 2" xfId="714" xr:uid="{00000000-0005-0000-0000-0000AE030000}"/>
    <cellStyle name="Heading 1 2 3" xfId="715" xr:uid="{00000000-0005-0000-0000-0000AF030000}"/>
    <cellStyle name="Heading 1 2 4" xfId="716" xr:uid="{00000000-0005-0000-0000-0000B0030000}"/>
    <cellStyle name="Heading 1 2 5" xfId="717" xr:uid="{00000000-0005-0000-0000-0000B1030000}"/>
    <cellStyle name="Heading 1 2 6" xfId="718" xr:uid="{00000000-0005-0000-0000-0000B2030000}"/>
    <cellStyle name="Heading 1 2 7" xfId="719" xr:uid="{00000000-0005-0000-0000-0000B3030000}"/>
    <cellStyle name="Heading 1 2 8" xfId="720" xr:uid="{00000000-0005-0000-0000-0000B4030000}"/>
    <cellStyle name="Heading 1 2 9" xfId="721" xr:uid="{00000000-0005-0000-0000-0000B5030000}"/>
    <cellStyle name="Heading 1 3" xfId="722" xr:uid="{00000000-0005-0000-0000-0000B6030000}"/>
    <cellStyle name="Heading 1 3 2" xfId="723" xr:uid="{00000000-0005-0000-0000-0000B7030000}"/>
    <cellStyle name="Heading 2 2" xfId="724" xr:uid="{00000000-0005-0000-0000-0000B8030000}"/>
    <cellStyle name="Heading 2 2 10" xfId="725" xr:uid="{00000000-0005-0000-0000-0000B9030000}"/>
    <cellStyle name="Heading 2 2 2" xfId="726" xr:uid="{00000000-0005-0000-0000-0000BA030000}"/>
    <cellStyle name="Heading 2 2 3" xfId="727" xr:uid="{00000000-0005-0000-0000-0000BB030000}"/>
    <cellStyle name="Heading 2 2 4" xfId="728" xr:uid="{00000000-0005-0000-0000-0000BC030000}"/>
    <cellStyle name="Heading 2 2 5" xfId="729" xr:uid="{00000000-0005-0000-0000-0000BD030000}"/>
    <cellStyle name="Heading 2 2 6" xfId="730" xr:uid="{00000000-0005-0000-0000-0000BE030000}"/>
    <cellStyle name="Heading 2 2 7" xfId="731" xr:uid="{00000000-0005-0000-0000-0000BF030000}"/>
    <cellStyle name="Heading 2 2 8" xfId="732" xr:uid="{00000000-0005-0000-0000-0000C0030000}"/>
    <cellStyle name="Heading 2 2 9" xfId="733" xr:uid="{00000000-0005-0000-0000-0000C1030000}"/>
    <cellStyle name="Heading 2 3" xfId="734" xr:uid="{00000000-0005-0000-0000-0000C2030000}"/>
    <cellStyle name="Heading 2 3 2" xfId="735" xr:uid="{00000000-0005-0000-0000-0000C3030000}"/>
    <cellStyle name="Heading 3 2" xfId="736" xr:uid="{00000000-0005-0000-0000-0000C4030000}"/>
    <cellStyle name="Heading 3 2 10" xfId="737" xr:uid="{00000000-0005-0000-0000-0000C5030000}"/>
    <cellStyle name="Heading 3 2 2" xfId="738" xr:uid="{00000000-0005-0000-0000-0000C6030000}"/>
    <cellStyle name="Heading 3 2 3" xfId="739" xr:uid="{00000000-0005-0000-0000-0000C7030000}"/>
    <cellStyle name="Heading 3 2 4" xfId="740" xr:uid="{00000000-0005-0000-0000-0000C8030000}"/>
    <cellStyle name="Heading 3 2 5" xfId="741" xr:uid="{00000000-0005-0000-0000-0000C9030000}"/>
    <cellStyle name="Heading 3 2 6" xfId="742" xr:uid="{00000000-0005-0000-0000-0000CA030000}"/>
    <cellStyle name="Heading 3 2 7" xfId="743" xr:uid="{00000000-0005-0000-0000-0000CB030000}"/>
    <cellStyle name="Heading 3 2 8" xfId="744" xr:uid="{00000000-0005-0000-0000-0000CC030000}"/>
    <cellStyle name="Heading 3 2 9" xfId="745" xr:uid="{00000000-0005-0000-0000-0000CD030000}"/>
    <cellStyle name="Heading 3 3" xfId="746" xr:uid="{00000000-0005-0000-0000-0000CE030000}"/>
    <cellStyle name="Heading 3 3 2" xfId="747" xr:uid="{00000000-0005-0000-0000-0000CF030000}"/>
    <cellStyle name="Heading 4 2" xfId="748" xr:uid="{00000000-0005-0000-0000-0000D0030000}"/>
    <cellStyle name="Heading 4 2 10" xfId="749" xr:uid="{00000000-0005-0000-0000-0000D1030000}"/>
    <cellStyle name="Heading 4 2 2" xfId="750" xr:uid="{00000000-0005-0000-0000-0000D2030000}"/>
    <cellStyle name="Heading 4 2 3" xfId="751" xr:uid="{00000000-0005-0000-0000-0000D3030000}"/>
    <cellStyle name="Heading 4 2 4" xfId="752" xr:uid="{00000000-0005-0000-0000-0000D4030000}"/>
    <cellStyle name="Heading 4 2 5" xfId="753" xr:uid="{00000000-0005-0000-0000-0000D5030000}"/>
    <cellStyle name="Heading 4 2 6" xfId="754" xr:uid="{00000000-0005-0000-0000-0000D6030000}"/>
    <cellStyle name="Heading 4 2 7" xfId="755" xr:uid="{00000000-0005-0000-0000-0000D7030000}"/>
    <cellStyle name="Heading 4 2 8" xfId="756" xr:uid="{00000000-0005-0000-0000-0000D8030000}"/>
    <cellStyle name="Heading 4 2 9" xfId="757" xr:uid="{00000000-0005-0000-0000-0000D9030000}"/>
    <cellStyle name="Heading 4 3" xfId="758" xr:uid="{00000000-0005-0000-0000-0000DA030000}"/>
    <cellStyle name="Heading 4 3 2" xfId="759" xr:uid="{00000000-0005-0000-0000-0000DB030000}"/>
    <cellStyle name="Heading1" xfId="760" xr:uid="{00000000-0005-0000-0000-0000DC030000}"/>
    <cellStyle name="Heading1 2" xfId="761" xr:uid="{00000000-0005-0000-0000-0000DD030000}"/>
    <cellStyle name="Heading2" xfId="762" xr:uid="{00000000-0005-0000-0000-0000DE030000}"/>
    <cellStyle name="Heading2 2" xfId="763" xr:uid="{00000000-0005-0000-0000-0000DF030000}"/>
    <cellStyle name="Hyperlink 2" xfId="764" xr:uid="{00000000-0005-0000-0000-0000E0030000}"/>
    <cellStyle name="Input 2" xfId="765" xr:uid="{00000000-0005-0000-0000-0000E1030000}"/>
    <cellStyle name="Input 2 10" xfId="766" xr:uid="{00000000-0005-0000-0000-0000E2030000}"/>
    <cellStyle name="Input 2 2" xfId="767" xr:uid="{00000000-0005-0000-0000-0000E3030000}"/>
    <cellStyle name="Input 2 3" xfId="768" xr:uid="{00000000-0005-0000-0000-0000E4030000}"/>
    <cellStyle name="Input 2 4" xfId="769" xr:uid="{00000000-0005-0000-0000-0000E5030000}"/>
    <cellStyle name="Input 2 5" xfId="770" xr:uid="{00000000-0005-0000-0000-0000E6030000}"/>
    <cellStyle name="Input 2 6" xfId="771" xr:uid="{00000000-0005-0000-0000-0000E7030000}"/>
    <cellStyle name="Input 2 7" xfId="772" xr:uid="{00000000-0005-0000-0000-0000E8030000}"/>
    <cellStyle name="Input 2 8" xfId="773" xr:uid="{00000000-0005-0000-0000-0000E9030000}"/>
    <cellStyle name="Input 2 9" xfId="774" xr:uid="{00000000-0005-0000-0000-0000EA030000}"/>
    <cellStyle name="Input 3" xfId="775" xr:uid="{00000000-0005-0000-0000-0000EB030000}"/>
    <cellStyle name="Input 3 2" xfId="776" xr:uid="{00000000-0005-0000-0000-0000EC030000}"/>
    <cellStyle name="InputCells" xfId="777" xr:uid="{00000000-0005-0000-0000-0000ED030000}"/>
    <cellStyle name="ligne_titre_0" xfId="778" xr:uid="{00000000-0005-0000-0000-0000EE030000}"/>
    <cellStyle name="Linked Cell 2" xfId="779" xr:uid="{00000000-0005-0000-0000-0000EF030000}"/>
    <cellStyle name="Linked Cell 2 10" xfId="780" xr:uid="{00000000-0005-0000-0000-0000F0030000}"/>
    <cellStyle name="Linked Cell 2 2" xfId="781" xr:uid="{00000000-0005-0000-0000-0000F1030000}"/>
    <cellStyle name="Linked Cell 2 3" xfId="782" xr:uid="{00000000-0005-0000-0000-0000F2030000}"/>
    <cellStyle name="Linked Cell 2 4" xfId="783" xr:uid="{00000000-0005-0000-0000-0000F3030000}"/>
    <cellStyle name="Linked Cell 2 5" xfId="784" xr:uid="{00000000-0005-0000-0000-0000F4030000}"/>
    <cellStyle name="Linked Cell 2 6" xfId="785" xr:uid="{00000000-0005-0000-0000-0000F5030000}"/>
    <cellStyle name="Linked Cell 2 7" xfId="786" xr:uid="{00000000-0005-0000-0000-0000F6030000}"/>
    <cellStyle name="Linked Cell 2 8" xfId="787" xr:uid="{00000000-0005-0000-0000-0000F7030000}"/>
    <cellStyle name="Linked Cell 2 9" xfId="788" xr:uid="{00000000-0005-0000-0000-0000F8030000}"/>
    <cellStyle name="Linked Cell 3" xfId="789" xr:uid="{00000000-0005-0000-0000-0000F9030000}"/>
    <cellStyle name="Linked Cell 3 2" xfId="790" xr:uid="{00000000-0005-0000-0000-0000FA030000}"/>
    <cellStyle name="Migliaia_Oil&amp;Gas IFE ARC POLITO" xfId="791" xr:uid="{00000000-0005-0000-0000-0000FB030000}"/>
    <cellStyle name="Neutral" xfId="2832" builtinId="28"/>
    <cellStyle name="Neutral 2" xfId="792" xr:uid="{00000000-0005-0000-0000-0000FC030000}"/>
    <cellStyle name="Neutral 2 10" xfId="793" xr:uid="{00000000-0005-0000-0000-0000FD030000}"/>
    <cellStyle name="Neutral 2 2" xfId="794" xr:uid="{00000000-0005-0000-0000-0000FE030000}"/>
    <cellStyle name="Neutral 2 3" xfId="795" xr:uid="{00000000-0005-0000-0000-0000FF030000}"/>
    <cellStyle name="Neutral 2 4" xfId="796" xr:uid="{00000000-0005-0000-0000-000000040000}"/>
    <cellStyle name="Neutral 2 5" xfId="797" xr:uid="{00000000-0005-0000-0000-000001040000}"/>
    <cellStyle name="Neutral 2 6" xfId="798" xr:uid="{00000000-0005-0000-0000-000002040000}"/>
    <cellStyle name="Neutral 2 7" xfId="799" xr:uid="{00000000-0005-0000-0000-000003040000}"/>
    <cellStyle name="Neutral 2 8" xfId="800" xr:uid="{00000000-0005-0000-0000-000004040000}"/>
    <cellStyle name="Neutral 2 9" xfId="801" xr:uid="{00000000-0005-0000-0000-000005040000}"/>
    <cellStyle name="Neutral 3" xfId="802" xr:uid="{00000000-0005-0000-0000-000006040000}"/>
    <cellStyle name="Neutral 3 2" xfId="803" xr:uid="{00000000-0005-0000-0000-000007040000}"/>
    <cellStyle name="Normal" xfId="0" builtinId="0"/>
    <cellStyle name="Normal 10" xfId="804" xr:uid="{00000000-0005-0000-0000-000009040000}"/>
    <cellStyle name="Normal 10 2" xfId="805" xr:uid="{00000000-0005-0000-0000-00000A040000}"/>
    <cellStyle name="Normal 10 2 2" xfId="1980" xr:uid="{00000000-0005-0000-0000-00000B040000}"/>
    <cellStyle name="Normal 10 3" xfId="806" xr:uid="{00000000-0005-0000-0000-00000C040000}"/>
    <cellStyle name="Normal 10 3 2" xfId="1981" xr:uid="{00000000-0005-0000-0000-00000D040000}"/>
    <cellStyle name="Normal 10 4" xfId="807" xr:uid="{00000000-0005-0000-0000-00000E040000}"/>
    <cellStyle name="Normal 10 4 2" xfId="1982" xr:uid="{00000000-0005-0000-0000-00000F040000}"/>
    <cellStyle name="Normal 10 5" xfId="808" xr:uid="{00000000-0005-0000-0000-000010040000}"/>
    <cellStyle name="Normal 10 5 2" xfId="1983" xr:uid="{00000000-0005-0000-0000-000011040000}"/>
    <cellStyle name="Normal 10 6" xfId="809" xr:uid="{00000000-0005-0000-0000-000012040000}"/>
    <cellStyle name="Normal 10 6 2" xfId="1984" xr:uid="{00000000-0005-0000-0000-000013040000}"/>
    <cellStyle name="Normal 10 7" xfId="810" xr:uid="{00000000-0005-0000-0000-000014040000}"/>
    <cellStyle name="Normal 10 7 2" xfId="1985" xr:uid="{00000000-0005-0000-0000-000015040000}"/>
    <cellStyle name="Normal 10 8" xfId="811" xr:uid="{00000000-0005-0000-0000-000016040000}"/>
    <cellStyle name="Normal 10 8 2" xfId="1986" xr:uid="{00000000-0005-0000-0000-000017040000}"/>
    <cellStyle name="Normal 10 9" xfId="1979" xr:uid="{00000000-0005-0000-0000-000018040000}"/>
    <cellStyle name="Normal 11" xfId="812" xr:uid="{00000000-0005-0000-0000-000019040000}"/>
    <cellStyle name="Normal 11 2" xfId="813" xr:uid="{00000000-0005-0000-0000-00001A040000}"/>
    <cellStyle name="Normal 11 2 2" xfId="1988" xr:uid="{00000000-0005-0000-0000-00001B040000}"/>
    <cellStyle name="Normal 11 3" xfId="814" xr:uid="{00000000-0005-0000-0000-00001C040000}"/>
    <cellStyle name="Normal 11 3 2" xfId="1989" xr:uid="{00000000-0005-0000-0000-00001D040000}"/>
    <cellStyle name="Normal 11 4" xfId="815" xr:uid="{00000000-0005-0000-0000-00001E040000}"/>
    <cellStyle name="Normal 11 4 2" xfId="1990" xr:uid="{00000000-0005-0000-0000-00001F040000}"/>
    <cellStyle name="Normal 11 5" xfId="816" xr:uid="{00000000-0005-0000-0000-000020040000}"/>
    <cellStyle name="Normal 11 5 2" xfId="1991" xr:uid="{00000000-0005-0000-0000-000021040000}"/>
    <cellStyle name="Normal 11 6" xfId="817" xr:uid="{00000000-0005-0000-0000-000022040000}"/>
    <cellStyle name="Normal 11 6 2" xfId="1992" xr:uid="{00000000-0005-0000-0000-000023040000}"/>
    <cellStyle name="Normal 11 7" xfId="818" xr:uid="{00000000-0005-0000-0000-000024040000}"/>
    <cellStyle name="Normal 11 7 2" xfId="1993" xr:uid="{00000000-0005-0000-0000-000025040000}"/>
    <cellStyle name="Normal 11 8" xfId="819" xr:uid="{00000000-0005-0000-0000-000026040000}"/>
    <cellStyle name="Normal 11 8 2" xfId="1994" xr:uid="{00000000-0005-0000-0000-000027040000}"/>
    <cellStyle name="Normal 11 9" xfId="1987" xr:uid="{00000000-0005-0000-0000-000028040000}"/>
    <cellStyle name="Normal 12" xfId="820" xr:uid="{00000000-0005-0000-0000-000029040000}"/>
    <cellStyle name="Normal 12 2" xfId="821" xr:uid="{00000000-0005-0000-0000-00002A040000}"/>
    <cellStyle name="Normal 12 2 2" xfId="1996" xr:uid="{00000000-0005-0000-0000-00002B040000}"/>
    <cellStyle name="Normal 12 3" xfId="822" xr:uid="{00000000-0005-0000-0000-00002C040000}"/>
    <cellStyle name="Normal 12 3 2" xfId="1997" xr:uid="{00000000-0005-0000-0000-00002D040000}"/>
    <cellStyle name="Normal 12 4" xfId="823" xr:uid="{00000000-0005-0000-0000-00002E040000}"/>
    <cellStyle name="Normal 12 4 2" xfId="1998" xr:uid="{00000000-0005-0000-0000-00002F040000}"/>
    <cellStyle name="Normal 12 5" xfId="824" xr:uid="{00000000-0005-0000-0000-000030040000}"/>
    <cellStyle name="Normal 12 5 2" xfId="1999" xr:uid="{00000000-0005-0000-0000-000031040000}"/>
    <cellStyle name="Normal 12 6" xfId="825" xr:uid="{00000000-0005-0000-0000-000032040000}"/>
    <cellStyle name="Normal 12 6 2" xfId="2000" xr:uid="{00000000-0005-0000-0000-000033040000}"/>
    <cellStyle name="Normal 12 7" xfId="826" xr:uid="{00000000-0005-0000-0000-000034040000}"/>
    <cellStyle name="Normal 12 7 2" xfId="2001" xr:uid="{00000000-0005-0000-0000-000035040000}"/>
    <cellStyle name="Normal 12 8" xfId="827" xr:uid="{00000000-0005-0000-0000-000036040000}"/>
    <cellStyle name="Normal 12 8 2" xfId="2002" xr:uid="{00000000-0005-0000-0000-000037040000}"/>
    <cellStyle name="Normal 12 9" xfId="1995" xr:uid="{00000000-0005-0000-0000-000038040000}"/>
    <cellStyle name="Normal 13" xfId="828" xr:uid="{00000000-0005-0000-0000-000039040000}"/>
    <cellStyle name="Normal 13 10" xfId="829" xr:uid="{00000000-0005-0000-0000-00003A040000}"/>
    <cellStyle name="Normal 13 10 2" xfId="2004" xr:uid="{00000000-0005-0000-0000-00003B040000}"/>
    <cellStyle name="Normal 13 10 2 2" xfId="3334" xr:uid="{82809FFF-797B-45E9-9117-B10862314036}"/>
    <cellStyle name="Normal 13 10 3" xfId="3042" xr:uid="{CA077A1E-0A9F-416D-A350-41D12E592BE7}"/>
    <cellStyle name="Normal 13 11" xfId="830" xr:uid="{00000000-0005-0000-0000-00003C040000}"/>
    <cellStyle name="Normal 13 11 2" xfId="2005" xr:uid="{00000000-0005-0000-0000-00003D040000}"/>
    <cellStyle name="Normal 13 11 2 2" xfId="3335" xr:uid="{005F43F5-E234-4609-BC8D-E65405184A9B}"/>
    <cellStyle name="Normal 13 11 3" xfId="3043" xr:uid="{7C0C212F-8697-4C74-A398-AE0EBA68C57C}"/>
    <cellStyle name="Normal 13 12" xfId="831" xr:uid="{00000000-0005-0000-0000-00003E040000}"/>
    <cellStyle name="Normal 13 13" xfId="832" xr:uid="{00000000-0005-0000-0000-00003F040000}"/>
    <cellStyle name="Normal 13 13 2" xfId="2006" xr:uid="{00000000-0005-0000-0000-000040040000}"/>
    <cellStyle name="Normal 13 13 2 2" xfId="3336" xr:uid="{815AA3CB-E01F-49C4-8E3E-A2E1A9AA0CD9}"/>
    <cellStyle name="Normal 13 13 3" xfId="3044" xr:uid="{93F21CFE-6B97-42DF-BBAB-360C73AA2968}"/>
    <cellStyle name="Normal 13 14" xfId="833" xr:uid="{00000000-0005-0000-0000-000041040000}"/>
    <cellStyle name="Normal 13 14 2" xfId="2007" xr:uid="{00000000-0005-0000-0000-000042040000}"/>
    <cellStyle name="Normal 13 14 2 2" xfId="3337" xr:uid="{601E9083-C8D4-4D71-8BC8-8EDCEBDC54A5}"/>
    <cellStyle name="Normal 13 14 3" xfId="3045" xr:uid="{9B5C7AF3-1C83-4303-9C23-2D5B7B4B22CA}"/>
    <cellStyle name="Normal 13 15" xfId="834" xr:uid="{00000000-0005-0000-0000-000043040000}"/>
    <cellStyle name="Normal 13 15 2" xfId="2008" xr:uid="{00000000-0005-0000-0000-000044040000}"/>
    <cellStyle name="Normal 13 15 2 2" xfId="3338" xr:uid="{B608E829-7BB5-4D22-A39F-CE59A0F208AF}"/>
    <cellStyle name="Normal 13 15 3" xfId="3046" xr:uid="{426DBA8C-648A-47BF-8753-0B3DE2883141}"/>
    <cellStyle name="Normal 13 16" xfId="835" xr:uid="{00000000-0005-0000-0000-000045040000}"/>
    <cellStyle name="Normal 13 16 2" xfId="2009" xr:uid="{00000000-0005-0000-0000-000046040000}"/>
    <cellStyle name="Normal 13 16 2 2" xfId="3339" xr:uid="{EA430157-104F-4D85-A67A-93BB925AB242}"/>
    <cellStyle name="Normal 13 16 3" xfId="3047" xr:uid="{548E2ACF-75C5-421E-8B26-8D384AEF80FF}"/>
    <cellStyle name="Normal 13 17" xfId="836" xr:uid="{00000000-0005-0000-0000-000047040000}"/>
    <cellStyle name="Normal 13 18" xfId="837" xr:uid="{00000000-0005-0000-0000-000048040000}"/>
    <cellStyle name="Normal 13 19" xfId="838" xr:uid="{00000000-0005-0000-0000-000049040000}"/>
    <cellStyle name="Normal 13 2" xfId="839" xr:uid="{00000000-0005-0000-0000-00004A040000}"/>
    <cellStyle name="Normal 13 2 2" xfId="840" xr:uid="{00000000-0005-0000-0000-00004B040000}"/>
    <cellStyle name="Normal 13 2 2 2" xfId="2010" xr:uid="{00000000-0005-0000-0000-00004C040000}"/>
    <cellStyle name="Normal 13 2 2 2 2" xfId="3340" xr:uid="{B44968F3-4B13-4DE2-8216-17F1A5F1AC13}"/>
    <cellStyle name="Normal 13 2 2 3" xfId="3048" xr:uid="{82E9A33B-C9DA-4FD9-9FF2-1E4AEC72129A}"/>
    <cellStyle name="Normal 13 2 3" xfId="841" xr:uid="{00000000-0005-0000-0000-00004D040000}"/>
    <cellStyle name="Normal 13 2 3 2" xfId="2011" xr:uid="{00000000-0005-0000-0000-00004E040000}"/>
    <cellStyle name="Normal 13 2 3 2 2" xfId="3341" xr:uid="{87FA53F5-486C-45A1-8FB6-7D07F805D2B9}"/>
    <cellStyle name="Normal 13 2 3 3" xfId="3049" xr:uid="{850D7116-D9BD-475E-8444-6A68B3673267}"/>
    <cellStyle name="Normal 13 2 4" xfId="842" xr:uid="{00000000-0005-0000-0000-00004F040000}"/>
    <cellStyle name="Normal 13 2 4 2" xfId="2012" xr:uid="{00000000-0005-0000-0000-000050040000}"/>
    <cellStyle name="Normal 13 2 4 2 2" xfId="3342" xr:uid="{7F204465-3B74-443D-AE82-74DEC7BE3EB0}"/>
    <cellStyle name="Normal 13 2 4 3" xfId="3050" xr:uid="{99E4AD6B-D0FD-4513-9133-07899DB9819E}"/>
    <cellStyle name="Normal 13 2 5" xfId="843" xr:uid="{00000000-0005-0000-0000-000051040000}"/>
    <cellStyle name="Normal 13 2 5 2" xfId="2013" xr:uid="{00000000-0005-0000-0000-000052040000}"/>
    <cellStyle name="Normal 13 2 5 2 2" xfId="3343" xr:uid="{3932B151-6344-49F6-8EDE-7DCC66F63DDC}"/>
    <cellStyle name="Normal 13 2 5 3" xfId="3051" xr:uid="{757DE8C5-AB31-420D-8B41-05505ACBC1C5}"/>
    <cellStyle name="Normal 13 2 6" xfId="844" xr:uid="{00000000-0005-0000-0000-000053040000}"/>
    <cellStyle name="Normal 13 2 6 2" xfId="2014" xr:uid="{00000000-0005-0000-0000-000054040000}"/>
    <cellStyle name="Normal 13 2 6 2 2" xfId="3344" xr:uid="{44AB798C-DB29-47CD-9F62-F467E27C0DDE}"/>
    <cellStyle name="Normal 13 2 6 3" xfId="3052" xr:uid="{C8C03F16-9960-435B-AEEF-2ABAEC17D989}"/>
    <cellStyle name="Normal 13 2 7" xfId="845" xr:uid="{00000000-0005-0000-0000-000055040000}"/>
    <cellStyle name="Normal 13 2 7 2" xfId="2015" xr:uid="{00000000-0005-0000-0000-000056040000}"/>
    <cellStyle name="Normal 13 2 7 2 2" xfId="3345" xr:uid="{D42C1CD2-7205-4438-B1C7-6606462B51A5}"/>
    <cellStyle name="Normal 13 2 7 3" xfId="3053" xr:uid="{C33CD747-C9AE-4395-B41C-377DC910E86E}"/>
    <cellStyle name="Normal 13 2 8" xfId="846" xr:uid="{00000000-0005-0000-0000-000057040000}"/>
    <cellStyle name="Normal 13 2 8 2" xfId="2016" xr:uid="{00000000-0005-0000-0000-000058040000}"/>
    <cellStyle name="Normal 13 2 8 2 2" xfId="3346" xr:uid="{531A0FC7-6B02-492B-862E-13F0280D0195}"/>
    <cellStyle name="Normal 13 2 8 3" xfId="3054" xr:uid="{D7479D0B-B097-4C2C-B685-3FF0FB5A5C41}"/>
    <cellStyle name="Normal 13 20" xfId="847" xr:uid="{00000000-0005-0000-0000-000059040000}"/>
    <cellStyle name="Normal 13 21" xfId="848" xr:uid="{00000000-0005-0000-0000-00005A040000}"/>
    <cellStyle name="Normal 13 22" xfId="849" xr:uid="{00000000-0005-0000-0000-00005B040000}"/>
    <cellStyle name="Normal 13 23" xfId="850" xr:uid="{00000000-0005-0000-0000-00005C040000}"/>
    <cellStyle name="Normal 13 23 2" xfId="2017" xr:uid="{00000000-0005-0000-0000-00005D040000}"/>
    <cellStyle name="Normal 13 24" xfId="851" xr:uid="{00000000-0005-0000-0000-00005E040000}"/>
    <cellStyle name="Normal 13 24 2" xfId="2018" xr:uid="{00000000-0005-0000-0000-00005F040000}"/>
    <cellStyle name="Normal 13 25" xfId="852" xr:uid="{00000000-0005-0000-0000-000060040000}"/>
    <cellStyle name="Normal 13 25 2" xfId="2019" xr:uid="{00000000-0005-0000-0000-000061040000}"/>
    <cellStyle name="Normal 13 26" xfId="853" xr:uid="{00000000-0005-0000-0000-000062040000}"/>
    <cellStyle name="Normal 13 26 2" xfId="2020" xr:uid="{00000000-0005-0000-0000-000063040000}"/>
    <cellStyle name="Normal 13 27" xfId="854" xr:uid="{00000000-0005-0000-0000-000064040000}"/>
    <cellStyle name="Normal 13 27 2" xfId="2021" xr:uid="{00000000-0005-0000-0000-000065040000}"/>
    <cellStyle name="Normal 13 28" xfId="855" xr:uid="{00000000-0005-0000-0000-000066040000}"/>
    <cellStyle name="Normal 13 28 2" xfId="2022" xr:uid="{00000000-0005-0000-0000-000067040000}"/>
    <cellStyle name="Normal 13 29" xfId="856" xr:uid="{00000000-0005-0000-0000-000068040000}"/>
    <cellStyle name="Normal 13 29 2" xfId="2023" xr:uid="{00000000-0005-0000-0000-000069040000}"/>
    <cellStyle name="Normal 13 3" xfId="857" xr:uid="{00000000-0005-0000-0000-00006A040000}"/>
    <cellStyle name="Normal 13 3 2" xfId="2024" xr:uid="{00000000-0005-0000-0000-00006B040000}"/>
    <cellStyle name="Normal 13 3 2 2" xfId="3347" xr:uid="{DBEF8B4C-6311-4E12-8C35-785B7A616039}"/>
    <cellStyle name="Normal 13 3 3" xfId="3055" xr:uid="{B2BE7BD1-F129-476C-859A-B0E62E763E33}"/>
    <cellStyle name="Normal 13 30" xfId="858" xr:uid="{00000000-0005-0000-0000-00006C040000}"/>
    <cellStyle name="Normal 13 30 2" xfId="2025" xr:uid="{00000000-0005-0000-0000-00006D040000}"/>
    <cellStyle name="Normal 13 31" xfId="859" xr:uid="{00000000-0005-0000-0000-00006E040000}"/>
    <cellStyle name="Normal 13 31 2" xfId="2026" xr:uid="{00000000-0005-0000-0000-00006F040000}"/>
    <cellStyle name="Normal 13 32" xfId="860" xr:uid="{00000000-0005-0000-0000-000070040000}"/>
    <cellStyle name="Normal 13 32 2" xfId="2027" xr:uid="{00000000-0005-0000-0000-000071040000}"/>
    <cellStyle name="Normal 13 33" xfId="861" xr:uid="{00000000-0005-0000-0000-000072040000}"/>
    <cellStyle name="Normal 13 33 2" xfId="2028" xr:uid="{00000000-0005-0000-0000-000073040000}"/>
    <cellStyle name="Normal 13 34" xfId="862" xr:uid="{00000000-0005-0000-0000-000074040000}"/>
    <cellStyle name="Normal 13 34 2" xfId="2029" xr:uid="{00000000-0005-0000-0000-000075040000}"/>
    <cellStyle name="Normal 13 35" xfId="863" xr:uid="{00000000-0005-0000-0000-000076040000}"/>
    <cellStyle name="Normal 13 35 2" xfId="2030" xr:uid="{00000000-0005-0000-0000-000077040000}"/>
    <cellStyle name="Normal 13 36" xfId="864" xr:uid="{00000000-0005-0000-0000-000078040000}"/>
    <cellStyle name="Normal 13 36 2" xfId="2031" xr:uid="{00000000-0005-0000-0000-000079040000}"/>
    <cellStyle name="Normal 13 37" xfId="865" xr:uid="{00000000-0005-0000-0000-00007A040000}"/>
    <cellStyle name="Normal 13 37 2" xfId="2032" xr:uid="{00000000-0005-0000-0000-00007B040000}"/>
    <cellStyle name="Normal 13 38" xfId="866" xr:uid="{00000000-0005-0000-0000-00007C040000}"/>
    <cellStyle name="Normal 13 38 2" xfId="2033" xr:uid="{00000000-0005-0000-0000-00007D040000}"/>
    <cellStyle name="Normal 13 39" xfId="2003" xr:uid="{00000000-0005-0000-0000-00007E040000}"/>
    <cellStyle name="Normal 13 4" xfId="867" xr:uid="{00000000-0005-0000-0000-00007F040000}"/>
    <cellStyle name="Normal 13 4 2" xfId="2034" xr:uid="{00000000-0005-0000-0000-000080040000}"/>
    <cellStyle name="Normal 13 4 2 2" xfId="3348" xr:uid="{A9E379B5-BC73-4DD8-8A8E-75FF8B6DC709}"/>
    <cellStyle name="Normal 13 4 3" xfId="3056" xr:uid="{F7E53903-6B84-422F-A236-A5DEC612D79B}"/>
    <cellStyle name="Normal 13 5" xfId="868" xr:uid="{00000000-0005-0000-0000-000081040000}"/>
    <cellStyle name="Normal 13 6" xfId="869" xr:uid="{00000000-0005-0000-0000-000082040000}"/>
    <cellStyle name="Normal 13 7" xfId="870" xr:uid="{00000000-0005-0000-0000-000083040000}"/>
    <cellStyle name="Normal 13 8" xfId="871" xr:uid="{00000000-0005-0000-0000-000084040000}"/>
    <cellStyle name="Normal 13 9" xfId="872" xr:uid="{00000000-0005-0000-0000-000085040000}"/>
    <cellStyle name="Normal 13 9 2" xfId="2035" xr:uid="{00000000-0005-0000-0000-000086040000}"/>
    <cellStyle name="Normal 13 9 2 2" xfId="3349" xr:uid="{A334FBD9-6366-4B3D-9C26-8211443E2AAD}"/>
    <cellStyle name="Normal 13 9 3" xfId="3057" xr:uid="{BD6EB4A1-05A5-4EDC-879D-3608878FF237}"/>
    <cellStyle name="Normal 14" xfId="873" xr:uid="{00000000-0005-0000-0000-000087040000}"/>
    <cellStyle name="Normal 14 10" xfId="874" xr:uid="{00000000-0005-0000-0000-000088040000}"/>
    <cellStyle name="Normal 14 10 2" xfId="2036" xr:uid="{00000000-0005-0000-0000-000089040000}"/>
    <cellStyle name="Normal 14 10 2 2" xfId="3350" xr:uid="{9A4228D2-8B38-4622-9B9C-B9574CBDAA97}"/>
    <cellStyle name="Normal 14 10 3" xfId="3058" xr:uid="{E15F0D58-EE97-4CF6-A10A-8519FCB2715C}"/>
    <cellStyle name="Normal 14 11" xfId="875" xr:uid="{00000000-0005-0000-0000-00008A040000}"/>
    <cellStyle name="Normal 14 11 2" xfId="2037" xr:uid="{00000000-0005-0000-0000-00008B040000}"/>
    <cellStyle name="Normal 14 11 2 2" xfId="3351" xr:uid="{0FBB6988-7D44-4208-ABC9-93E2F305C1AB}"/>
    <cellStyle name="Normal 14 11 3" xfId="3059" xr:uid="{0D66ACBD-196C-4CE7-BC09-C4A827DDB7F2}"/>
    <cellStyle name="Normal 14 12" xfId="876" xr:uid="{00000000-0005-0000-0000-00008C040000}"/>
    <cellStyle name="Normal 14 12 2" xfId="2038" xr:uid="{00000000-0005-0000-0000-00008D040000}"/>
    <cellStyle name="Normal 14 12 2 2" xfId="3352" xr:uid="{79F92A75-48CC-463E-A5FA-B8BF6242D115}"/>
    <cellStyle name="Normal 14 12 3" xfId="3060" xr:uid="{D8A3E8BC-752B-431E-85A0-2A12607C0C99}"/>
    <cellStyle name="Normal 14 13" xfId="877" xr:uid="{00000000-0005-0000-0000-00008E040000}"/>
    <cellStyle name="Normal 14 13 2" xfId="2039" xr:uid="{00000000-0005-0000-0000-00008F040000}"/>
    <cellStyle name="Normal 14 13 2 2" xfId="3353" xr:uid="{019C7B1E-1091-44D0-A8B4-30BBDEF39DAD}"/>
    <cellStyle name="Normal 14 13 3" xfId="3061" xr:uid="{57263909-852D-45F2-BB03-657F550937F5}"/>
    <cellStyle name="Normal 14 14" xfId="878" xr:uid="{00000000-0005-0000-0000-000090040000}"/>
    <cellStyle name="Normal 14 14 2" xfId="2040" xr:uid="{00000000-0005-0000-0000-000091040000}"/>
    <cellStyle name="Normal 14 14 2 2" xfId="3354" xr:uid="{259B097F-ED5F-44BD-A958-7E63377D6E40}"/>
    <cellStyle name="Normal 14 14 3" xfId="3062" xr:uid="{220C8C95-9638-4CA4-85E7-798013821E4A}"/>
    <cellStyle name="Normal 14 15" xfId="879" xr:uid="{00000000-0005-0000-0000-000092040000}"/>
    <cellStyle name="Normal 14 15 2" xfId="2041" xr:uid="{00000000-0005-0000-0000-000093040000}"/>
    <cellStyle name="Normal 14 15 2 2" xfId="3355" xr:uid="{F20CD57F-C251-4E3B-804A-85F68B467921}"/>
    <cellStyle name="Normal 14 15 3" xfId="3063" xr:uid="{8CB3E7B4-0F06-4BF0-8174-895F6094F7D5}"/>
    <cellStyle name="Normal 14 2" xfId="880" xr:uid="{00000000-0005-0000-0000-000094040000}"/>
    <cellStyle name="Normal 14 2 2" xfId="881" xr:uid="{00000000-0005-0000-0000-000095040000}"/>
    <cellStyle name="Normal 14 2 2 2" xfId="2043" xr:uid="{00000000-0005-0000-0000-000096040000}"/>
    <cellStyle name="Normal 14 2 3" xfId="882" xr:uid="{00000000-0005-0000-0000-000097040000}"/>
    <cellStyle name="Normal 14 2 3 2" xfId="2044" xr:uid="{00000000-0005-0000-0000-000098040000}"/>
    <cellStyle name="Normal 14 2 4" xfId="883" xr:uid="{00000000-0005-0000-0000-000099040000}"/>
    <cellStyle name="Normal 14 2 4 2" xfId="2045" xr:uid="{00000000-0005-0000-0000-00009A040000}"/>
    <cellStyle name="Normal 14 2 5" xfId="884" xr:uid="{00000000-0005-0000-0000-00009B040000}"/>
    <cellStyle name="Normal 14 2 5 2" xfId="2046" xr:uid="{00000000-0005-0000-0000-00009C040000}"/>
    <cellStyle name="Normal 14 2 6" xfId="885" xr:uid="{00000000-0005-0000-0000-00009D040000}"/>
    <cellStyle name="Normal 14 2 6 2" xfId="2047" xr:uid="{00000000-0005-0000-0000-00009E040000}"/>
    <cellStyle name="Normal 14 2 7" xfId="886" xr:uid="{00000000-0005-0000-0000-00009F040000}"/>
    <cellStyle name="Normal 14 2 7 2" xfId="2048" xr:uid="{00000000-0005-0000-0000-0000A0040000}"/>
    <cellStyle name="Normal 14 2 8" xfId="2042" xr:uid="{00000000-0005-0000-0000-0000A1040000}"/>
    <cellStyle name="Normal 14 2 8 2" xfId="3356" xr:uid="{3EB7C701-44EA-4857-9BD2-68D57F8D5317}"/>
    <cellStyle name="Normal 14 2 9" xfId="3064" xr:uid="{EBB03BBF-C00A-4344-94EB-0E50D99F8F19}"/>
    <cellStyle name="Normal 14 3" xfId="887" xr:uid="{00000000-0005-0000-0000-0000A2040000}"/>
    <cellStyle name="Normal 14 3 2" xfId="2049" xr:uid="{00000000-0005-0000-0000-0000A3040000}"/>
    <cellStyle name="Normal 14 4" xfId="888" xr:uid="{00000000-0005-0000-0000-0000A4040000}"/>
    <cellStyle name="Normal 14 4 2" xfId="2050" xr:uid="{00000000-0005-0000-0000-0000A5040000}"/>
    <cellStyle name="Normal 14 4 2 2" xfId="3357" xr:uid="{1EBE6614-8147-4AB9-8987-11E061BBD518}"/>
    <cellStyle name="Normal 14 4 3" xfId="3065" xr:uid="{0AC366F3-A645-42B0-85C8-14DF5A1D5485}"/>
    <cellStyle name="Normal 14 5" xfId="889" xr:uid="{00000000-0005-0000-0000-0000A6040000}"/>
    <cellStyle name="Normal 14 5 2" xfId="2051" xr:uid="{00000000-0005-0000-0000-0000A7040000}"/>
    <cellStyle name="Normal 14 5 2 2" xfId="3358" xr:uid="{9F93667C-09F1-49D8-A236-26165F61729E}"/>
    <cellStyle name="Normal 14 5 3" xfId="3066" xr:uid="{F06818DB-CE38-44C7-928E-6E7151E983B4}"/>
    <cellStyle name="Normal 14 6" xfId="890" xr:uid="{00000000-0005-0000-0000-0000A8040000}"/>
    <cellStyle name="Normal 14 6 2" xfId="2052" xr:uid="{00000000-0005-0000-0000-0000A9040000}"/>
    <cellStyle name="Normal 14 7" xfId="891" xr:uid="{00000000-0005-0000-0000-0000AA040000}"/>
    <cellStyle name="Normal 14 7 2" xfId="2053" xr:uid="{00000000-0005-0000-0000-0000AB040000}"/>
    <cellStyle name="Normal 14 8" xfId="892" xr:uid="{00000000-0005-0000-0000-0000AC040000}"/>
    <cellStyle name="Normal 14 8 2" xfId="2054" xr:uid="{00000000-0005-0000-0000-0000AD040000}"/>
    <cellStyle name="Normal 14 9" xfId="893" xr:uid="{00000000-0005-0000-0000-0000AE040000}"/>
    <cellStyle name="Normal 14 9 2" xfId="2055" xr:uid="{00000000-0005-0000-0000-0000AF040000}"/>
    <cellStyle name="Normal 15" xfId="894" xr:uid="{00000000-0005-0000-0000-0000B0040000}"/>
    <cellStyle name="Normal 15 2" xfId="895" xr:uid="{00000000-0005-0000-0000-0000B1040000}"/>
    <cellStyle name="Normal 15 2 2" xfId="2056" xr:uid="{00000000-0005-0000-0000-0000B2040000}"/>
    <cellStyle name="Normal 15 3" xfId="896" xr:uid="{00000000-0005-0000-0000-0000B3040000}"/>
    <cellStyle name="Normal 15 3 2" xfId="2057" xr:uid="{00000000-0005-0000-0000-0000B4040000}"/>
    <cellStyle name="Normal 15 4" xfId="897" xr:uid="{00000000-0005-0000-0000-0000B5040000}"/>
    <cellStyle name="Normal 15 4 2" xfId="2058" xr:uid="{00000000-0005-0000-0000-0000B6040000}"/>
    <cellStyle name="Normal 15 5" xfId="898" xr:uid="{00000000-0005-0000-0000-0000B7040000}"/>
    <cellStyle name="Normal 15 5 2" xfId="2059" xr:uid="{00000000-0005-0000-0000-0000B8040000}"/>
    <cellStyle name="Normal 15 6" xfId="899" xr:uid="{00000000-0005-0000-0000-0000B9040000}"/>
    <cellStyle name="Normal 15 6 2" xfId="2060" xr:uid="{00000000-0005-0000-0000-0000BA040000}"/>
    <cellStyle name="Normal 16" xfId="900" xr:uid="{00000000-0005-0000-0000-0000BB040000}"/>
    <cellStyle name="Normal 16 2" xfId="901" xr:uid="{00000000-0005-0000-0000-0000BC040000}"/>
    <cellStyle name="Normal 16 2 2" xfId="2062" xr:uid="{00000000-0005-0000-0000-0000BD040000}"/>
    <cellStyle name="Normal 16 3" xfId="902" xr:uid="{00000000-0005-0000-0000-0000BE040000}"/>
    <cellStyle name="Normal 16 3 2" xfId="2063" xr:uid="{00000000-0005-0000-0000-0000BF040000}"/>
    <cellStyle name="Normal 16 4" xfId="903" xr:uid="{00000000-0005-0000-0000-0000C0040000}"/>
    <cellStyle name="Normal 16 4 2" xfId="2064" xr:uid="{00000000-0005-0000-0000-0000C1040000}"/>
    <cellStyle name="Normal 16 5" xfId="904" xr:uid="{00000000-0005-0000-0000-0000C2040000}"/>
    <cellStyle name="Normal 16 5 2" xfId="2065" xr:uid="{00000000-0005-0000-0000-0000C3040000}"/>
    <cellStyle name="Normal 16 6" xfId="905" xr:uid="{00000000-0005-0000-0000-0000C4040000}"/>
    <cellStyle name="Normal 16 6 2" xfId="2066" xr:uid="{00000000-0005-0000-0000-0000C5040000}"/>
    <cellStyle name="Normal 16 7" xfId="2061" xr:uid="{00000000-0005-0000-0000-0000C6040000}"/>
    <cellStyle name="Normal 16 7 2" xfId="3359" xr:uid="{A65A4A50-0378-4602-B56D-3AA99220A54E}"/>
    <cellStyle name="Normal 16 8" xfId="3067" xr:uid="{65474294-51DE-41BF-902B-2B02D6B84949}"/>
    <cellStyle name="Normal 17" xfId="906" xr:uid="{00000000-0005-0000-0000-0000C7040000}"/>
    <cellStyle name="Normal 17 10" xfId="907" xr:uid="{00000000-0005-0000-0000-0000C8040000}"/>
    <cellStyle name="Normal 17 10 2" xfId="2068" xr:uid="{00000000-0005-0000-0000-0000C9040000}"/>
    <cellStyle name="Normal 17 11" xfId="908" xr:uid="{00000000-0005-0000-0000-0000CA040000}"/>
    <cellStyle name="Normal 17 11 2" xfId="2069" xr:uid="{00000000-0005-0000-0000-0000CB040000}"/>
    <cellStyle name="Normal 17 12" xfId="909" xr:uid="{00000000-0005-0000-0000-0000CC040000}"/>
    <cellStyle name="Normal 17 12 2" xfId="2070" xr:uid="{00000000-0005-0000-0000-0000CD040000}"/>
    <cellStyle name="Normal 17 13" xfId="910" xr:uid="{00000000-0005-0000-0000-0000CE040000}"/>
    <cellStyle name="Normal 17 13 2" xfId="2071" xr:uid="{00000000-0005-0000-0000-0000CF040000}"/>
    <cellStyle name="Normal 17 14" xfId="2067" xr:uid="{00000000-0005-0000-0000-0000D0040000}"/>
    <cellStyle name="Normal 17 14 2" xfId="3360" xr:uid="{75411A34-4527-4D56-8860-98FA99935B20}"/>
    <cellStyle name="Normal 17 15" xfId="3068" xr:uid="{5DA9E3B6-EFCE-4713-8831-9DEA14F57DB8}"/>
    <cellStyle name="Normal 17 2" xfId="911" xr:uid="{00000000-0005-0000-0000-0000D1040000}"/>
    <cellStyle name="Normal 17 2 2" xfId="2072" xr:uid="{00000000-0005-0000-0000-0000D2040000}"/>
    <cellStyle name="Normal 17 3" xfId="912" xr:uid="{00000000-0005-0000-0000-0000D3040000}"/>
    <cellStyle name="Normal 17 3 2" xfId="2073" xr:uid="{00000000-0005-0000-0000-0000D4040000}"/>
    <cellStyle name="Normal 17 4" xfId="913" xr:uid="{00000000-0005-0000-0000-0000D5040000}"/>
    <cellStyle name="Normal 17 4 2" xfId="2074" xr:uid="{00000000-0005-0000-0000-0000D6040000}"/>
    <cellStyle name="Normal 17 5" xfId="914" xr:uid="{00000000-0005-0000-0000-0000D7040000}"/>
    <cellStyle name="Normal 17 5 2" xfId="2075" xr:uid="{00000000-0005-0000-0000-0000D8040000}"/>
    <cellStyle name="Normal 17 6" xfId="915" xr:uid="{00000000-0005-0000-0000-0000D9040000}"/>
    <cellStyle name="Normal 17 6 2" xfId="2076" xr:uid="{00000000-0005-0000-0000-0000DA040000}"/>
    <cellStyle name="Normal 17 7" xfId="916" xr:uid="{00000000-0005-0000-0000-0000DB040000}"/>
    <cellStyle name="Normal 17 7 2" xfId="2077" xr:uid="{00000000-0005-0000-0000-0000DC040000}"/>
    <cellStyle name="Normal 17 8" xfId="917" xr:uid="{00000000-0005-0000-0000-0000DD040000}"/>
    <cellStyle name="Normal 17 8 2" xfId="2078" xr:uid="{00000000-0005-0000-0000-0000DE040000}"/>
    <cellStyle name="Normal 17 9" xfId="918" xr:uid="{00000000-0005-0000-0000-0000DF040000}"/>
    <cellStyle name="Normal 17 9 2" xfId="2079" xr:uid="{00000000-0005-0000-0000-0000E0040000}"/>
    <cellStyle name="Normal 18" xfId="919" xr:uid="{00000000-0005-0000-0000-0000E1040000}"/>
    <cellStyle name="Normal 18 2" xfId="2080" xr:uid="{00000000-0005-0000-0000-0000E2040000}"/>
    <cellStyle name="Normal 18 2 2" xfId="3361" xr:uid="{59161835-5E57-456F-85E8-E84103100B91}"/>
    <cellStyle name="Normal 18 3" xfId="3069" xr:uid="{6D803FC6-A341-47B7-8178-AD48E452A912}"/>
    <cellStyle name="Normal 2" xfId="920" xr:uid="{00000000-0005-0000-0000-0000E3040000}"/>
    <cellStyle name="Normal 2 10" xfId="921" xr:uid="{00000000-0005-0000-0000-0000E4040000}"/>
    <cellStyle name="Normal 2 10 2" xfId="2082" xr:uid="{00000000-0005-0000-0000-0000E5040000}"/>
    <cellStyle name="Normal 2 11" xfId="922" xr:uid="{00000000-0005-0000-0000-0000E6040000}"/>
    <cellStyle name="Normal 2 11 2" xfId="2083" xr:uid="{00000000-0005-0000-0000-0000E7040000}"/>
    <cellStyle name="Normal 2 12" xfId="923" xr:uid="{00000000-0005-0000-0000-0000E8040000}"/>
    <cellStyle name="Normal 2 12 2" xfId="2084" xr:uid="{00000000-0005-0000-0000-0000E9040000}"/>
    <cellStyle name="Normal 2 13" xfId="924" xr:uid="{00000000-0005-0000-0000-0000EA040000}"/>
    <cellStyle name="Normal 2 13 2" xfId="2085" xr:uid="{00000000-0005-0000-0000-0000EB040000}"/>
    <cellStyle name="Normal 2 14" xfId="925" xr:uid="{00000000-0005-0000-0000-0000EC040000}"/>
    <cellStyle name="Normal 2 14 2" xfId="2086" xr:uid="{00000000-0005-0000-0000-0000ED040000}"/>
    <cellStyle name="Normal 2 15" xfId="926" xr:uid="{00000000-0005-0000-0000-0000EE040000}"/>
    <cellStyle name="Normal 2 15 2" xfId="2087" xr:uid="{00000000-0005-0000-0000-0000EF040000}"/>
    <cellStyle name="Normal 2 16" xfId="927" xr:uid="{00000000-0005-0000-0000-0000F0040000}"/>
    <cellStyle name="Normal 2 16 2" xfId="2088" xr:uid="{00000000-0005-0000-0000-0000F1040000}"/>
    <cellStyle name="Normal 2 17" xfId="928" xr:uid="{00000000-0005-0000-0000-0000F2040000}"/>
    <cellStyle name="Normal 2 17 2" xfId="2089" xr:uid="{00000000-0005-0000-0000-0000F3040000}"/>
    <cellStyle name="Normal 2 18" xfId="2081" xr:uid="{00000000-0005-0000-0000-0000F4040000}"/>
    <cellStyle name="Normal 2 18 2" xfId="3362" xr:uid="{E26C3FAD-E9CD-4F9A-9777-FAA1EC426F8D}"/>
    <cellStyle name="Normal 2 19" xfId="3070" xr:uid="{3E597332-CBE8-40E0-B53E-D4F938C8423C}"/>
    <cellStyle name="Normal 2 2" xfId="929" xr:uid="{00000000-0005-0000-0000-0000F5040000}"/>
    <cellStyle name="Normal 2 2 10" xfId="930" xr:uid="{00000000-0005-0000-0000-0000F6040000}"/>
    <cellStyle name="Normal 2 2 10 2" xfId="2091" xr:uid="{00000000-0005-0000-0000-0000F7040000}"/>
    <cellStyle name="Normal 2 2 10 2 2" xfId="3363" xr:uid="{7CD3DD08-7D55-41ED-BB14-F2CE5AFC377B}"/>
    <cellStyle name="Normal 2 2 10 3" xfId="3071" xr:uid="{D2CC6333-265F-41E1-B7D6-E281BCE9F9BE}"/>
    <cellStyle name="Normal 2 2 11" xfId="931" xr:uid="{00000000-0005-0000-0000-0000F8040000}"/>
    <cellStyle name="Normal 2 2 11 2" xfId="2092" xr:uid="{00000000-0005-0000-0000-0000F9040000}"/>
    <cellStyle name="Normal 2 2 11 2 2" xfId="3364" xr:uid="{30E040CE-B507-44E9-8BDF-F29F3C917C05}"/>
    <cellStyle name="Normal 2 2 11 3" xfId="3072" xr:uid="{0BE29B8C-CF60-4E4F-979F-A122A2488E98}"/>
    <cellStyle name="Normal 2 2 12" xfId="932" xr:uid="{00000000-0005-0000-0000-0000FA040000}"/>
    <cellStyle name="Normal 2 2 12 2" xfId="2093" xr:uid="{00000000-0005-0000-0000-0000FB040000}"/>
    <cellStyle name="Normal 2 2 12 2 2" xfId="3365" xr:uid="{BDEF95C9-1998-4D31-A1AA-5264DF62C6C5}"/>
    <cellStyle name="Normal 2 2 12 3" xfId="3073" xr:uid="{48545CD4-8739-46F8-A443-C5B058AAE395}"/>
    <cellStyle name="Normal 2 2 13" xfId="933" xr:uid="{00000000-0005-0000-0000-0000FC040000}"/>
    <cellStyle name="Normal 2 2 13 2" xfId="2094" xr:uid="{00000000-0005-0000-0000-0000FD040000}"/>
    <cellStyle name="Normal 2 2 13 2 2" xfId="3366" xr:uid="{C4A96643-BEE9-4D2F-80F3-6BDC750EFF3A}"/>
    <cellStyle name="Normal 2 2 13 3" xfId="3074" xr:uid="{979F4E1F-7471-42A8-90EA-E68CF5643B72}"/>
    <cellStyle name="Normal 2 2 14" xfId="934" xr:uid="{00000000-0005-0000-0000-0000FE040000}"/>
    <cellStyle name="Normal 2 2 14 2" xfId="2095" xr:uid="{00000000-0005-0000-0000-0000FF040000}"/>
    <cellStyle name="Normal 2 2 15" xfId="2090" xr:uid="{00000000-0005-0000-0000-000000050000}"/>
    <cellStyle name="Normal 2 2 2" xfId="935" xr:uid="{00000000-0005-0000-0000-000001050000}"/>
    <cellStyle name="Normal 2 2 2 2" xfId="2096" xr:uid="{00000000-0005-0000-0000-000002050000}"/>
    <cellStyle name="Normal 2 2 2 2 2" xfId="3367" xr:uid="{AD9002B6-2511-4089-8800-082FCEB0DCE0}"/>
    <cellStyle name="Normal 2 2 2 3" xfId="3075" xr:uid="{5C4F7B16-A1ED-41BE-A354-58F6DBACC3CE}"/>
    <cellStyle name="Normal 2 2 3" xfId="936" xr:uid="{00000000-0005-0000-0000-000003050000}"/>
    <cellStyle name="Normal 2 2 3 2" xfId="2097" xr:uid="{00000000-0005-0000-0000-000004050000}"/>
    <cellStyle name="Normal 2 2 3 2 2" xfId="3368" xr:uid="{6DFC873E-7005-4F52-8935-43C5C95D2156}"/>
    <cellStyle name="Normal 2 2 3 3" xfId="3076" xr:uid="{2BD3185F-7FDA-4269-B0FC-85288917E9D5}"/>
    <cellStyle name="Normal 2 2 4" xfId="937" xr:uid="{00000000-0005-0000-0000-000005050000}"/>
    <cellStyle name="Normal 2 2 4 2" xfId="2098" xr:uid="{00000000-0005-0000-0000-000006050000}"/>
    <cellStyle name="Normal 2 2 4 2 2" xfId="3369" xr:uid="{C6EFB280-886B-448C-9C85-3E8C957811BA}"/>
    <cellStyle name="Normal 2 2 4 3" xfId="3077" xr:uid="{BB16C78A-9CCD-4FA0-935F-D932F83C0A01}"/>
    <cellStyle name="Normal 2 2 5" xfId="938" xr:uid="{00000000-0005-0000-0000-000007050000}"/>
    <cellStyle name="Normal 2 2 5 2" xfId="2099" xr:uid="{00000000-0005-0000-0000-000008050000}"/>
    <cellStyle name="Normal 2 2 5 2 2" xfId="3370" xr:uid="{29AFF6A7-47C4-461C-9400-510F13DE1C6D}"/>
    <cellStyle name="Normal 2 2 5 3" xfId="3078" xr:uid="{F9593FCA-9E28-4C4D-A0E3-9F4F8CC584C8}"/>
    <cellStyle name="Normal 2 2 6" xfId="939" xr:uid="{00000000-0005-0000-0000-000009050000}"/>
    <cellStyle name="Normal 2 2 6 2" xfId="2100" xr:uid="{00000000-0005-0000-0000-00000A050000}"/>
    <cellStyle name="Normal 2 2 6 2 2" xfId="3371" xr:uid="{21ED65CF-5802-4513-AB81-D6B850105CF6}"/>
    <cellStyle name="Normal 2 2 6 3" xfId="3079" xr:uid="{856DB166-AEA1-4CF8-9379-E306A3922950}"/>
    <cellStyle name="Normal 2 2 7" xfId="940" xr:uid="{00000000-0005-0000-0000-00000B050000}"/>
    <cellStyle name="Normal 2 2 7 2" xfId="2101" xr:uid="{00000000-0005-0000-0000-00000C050000}"/>
    <cellStyle name="Normal 2 2 7 2 2" xfId="3372" xr:uid="{9896AD38-067B-49F9-B2B2-EEF6401576A6}"/>
    <cellStyle name="Normal 2 2 7 3" xfId="3080" xr:uid="{77AFC575-DB2F-4A9A-9F0B-E133A8CFA211}"/>
    <cellStyle name="Normal 2 2 8" xfId="941" xr:uid="{00000000-0005-0000-0000-00000D050000}"/>
    <cellStyle name="Normal 2 2 8 2" xfId="2102" xr:uid="{00000000-0005-0000-0000-00000E050000}"/>
    <cellStyle name="Normal 2 2 8 2 2" xfId="3373" xr:uid="{4188481F-EA76-4B33-B179-EC565D29DD8F}"/>
    <cellStyle name="Normal 2 2 8 3" xfId="3081" xr:uid="{D7C4BB2B-E4C9-4F96-9A5D-EC7391365DF2}"/>
    <cellStyle name="Normal 2 2 9" xfId="942" xr:uid="{00000000-0005-0000-0000-00000F050000}"/>
    <cellStyle name="Normal 2 2 9 2" xfId="2103" xr:uid="{00000000-0005-0000-0000-000010050000}"/>
    <cellStyle name="Normal 2 2 9 2 2" xfId="3374" xr:uid="{31F66151-9206-4982-9C22-89F476DD6B50}"/>
    <cellStyle name="Normal 2 2 9 3" xfId="3082" xr:uid="{B6F62181-D8F4-4CE8-9EC9-81F82F7C749D}"/>
    <cellStyle name="Normal 2 3" xfId="943" xr:uid="{00000000-0005-0000-0000-000011050000}"/>
    <cellStyle name="Normal 2 3 10" xfId="944" xr:uid="{00000000-0005-0000-0000-000012050000}"/>
    <cellStyle name="Normal 2 3 10 2" xfId="2105" xr:uid="{00000000-0005-0000-0000-000013050000}"/>
    <cellStyle name="Normal 2 3 10 2 2" xfId="3375" xr:uid="{9BF90AEC-A67F-4687-95D7-74686CEB3E42}"/>
    <cellStyle name="Normal 2 3 10 3" xfId="3083" xr:uid="{13313CB8-C206-4CA0-B0D6-363C5BC32BD0}"/>
    <cellStyle name="Normal 2 3 11" xfId="945" xr:uid="{00000000-0005-0000-0000-000014050000}"/>
    <cellStyle name="Normal 2 3 11 2" xfId="2106" xr:uid="{00000000-0005-0000-0000-000015050000}"/>
    <cellStyle name="Normal 2 3 11 2 2" xfId="3376" xr:uid="{8DF35D57-94E5-4230-8689-A63511C143A7}"/>
    <cellStyle name="Normal 2 3 11 3" xfId="3084" xr:uid="{D7586B58-2DFF-4D26-BC20-816D72422778}"/>
    <cellStyle name="Normal 2 3 12" xfId="946" xr:uid="{00000000-0005-0000-0000-000016050000}"/>
    <cellStyle name="Normal 2 3 12 2" xfId="2107" xr:uid="{00000000-0005-0000-0000-000017050000}"/>
    <cellStyle name="Normal 2 3 12 2 2" xfId="3377" xr:uid="{5EDA5A31-1F79-4EA5-92F3-F3E7E39E7254}"/>
    <cellStyle name="Normal 2 3 12 3" xfId="3085" xr:uid="{56D2DBDB-0A6D-414C-865F-217D38404A4E}"/>
    <cellStyle name="Normal 2 3 13" xfId="947" xr:uid="{00000000-0005-0000-0000-000018050000}"/>
    <cellStyle name="Normal 2 3 13 2" xfId="2108" xr:uid="{00000000-0005-0000-0000-000019050000}"/>
    <cellStyle name="Normal 2 3 13 2 2" xfId="3378" xr:uid="{DDD9AF33-7E60-46D3-9B6B-7F5D258B759F}"/>
    <cellStyle name="Normal 2 3 13 3" xfId="3086" xr:uid="{3359BF9A-2A23-4ED3-858D-DDC1CA20DCA9}"/>
    <cellStyle name="Normal 2 3 14" xfId="2104" xr:uid="{00000000-0005-0000-0000-00001A050000}"/>
    <cellStyle name="Normal 2 3 2" xfId="948" xr:uid="{00000000-0005-0000-0000-00001B050000}"/>
    <cellStyle name="Normal 2 3 2 2" xfId="2109" xr:uid="{00000000-0005-0000-0000-00001C050000}"/>
    <cellStyle name="Normal 2 3 2 2 2" xfId="3379" xr:uid="{C755B91C-9A0A-4CB1-9FEC-0A90B37B704E}"/>
    <cellStyle name="Normal 2 3 2 3" xfId="3087" xr:uid="{D1382E46-B5BF-42B4-8039-09E826125259}"/>
    <cellStyle name="Normal 2 3 3" xfId="949" xr:uid="{00000000-0005-0000-0000-00001D050000}"/>
    <cellStyle name="Normal 2 3 3 2" xfId="2110" xr:uid="{00000000-0005-0000-0000-00001E050000}"/>
    <cellStyle name="Normal 2 3 3 2 2" xfId="3380" xr:uid="{12385A26-62F8-4F8E-BF81-E6C8AC86A4B1}"/>
    <cellStyle name="Normal 2 3 3 3" xfId="3088" xr:uid="{7525658A-3621-4503-AF02-F65F23B6534A}"/>
    <cellStyle name="Normal 2 3 4" xfId="950" xr:uid="{00000000-0005-0000-0000-00001F050000}"/>
    <cellStyle name="Normal 2 3 4 2" xfId="2111" xr:uid="{00000000-0005-0000-0000-000020050000}"/>
    <cellStyle name="Normal 2 3 4 2 2" xfId="3381" xr:uid="{B83DD6A6-EA28-4300-8877-0DA72D11ECD6}"/>
    <cellStyle name="Normal 2 3 4 3" xfId="3089" xr:uid="{0149BC96-179C-4BBD-8C87-823A6BD63417}"/>
    <cellStyle name="Normal 2 3 5" xfId="951" xr:uid="{00000000-0005-0000-0000-000021050000}"/>
    <cellStyle name="Normal 2 3 5 2" xfId="2112" xr:uid="{00000000-0005-0000-0000-000022050000}"/>
    <cellStyle name="Normal 2 3 5 2 2" xfId="3382" xr:uid="{113996A7-ABA1-4EE9-97DB-A7F467EB18F0}"/>
    <cellStyle name="Normal 2 3 5 3" xfId="3090" xr:uid="{B780E192-F7DD-4EE9-A9FD-ABE757FFDCF8}"/>
    <cellStyle name="Normal 2 3 6" xfId="952" xr:uid="{00000000-0005-0000-0000-000023050000}"/>
    <cellStyle name="Normal 2 3 6 2" xfId="2113" xr:uid="{00000000-0005-0000-0000-000024050000}"/>
    <cellStyle name="Normal 2 3 6 2 2" xfId="3383" xr:uid="{67285709-0BF8-44F0-ACAD-8D87A07C7295}"/>
    <cellStyle name="Normal 2 3 6 3" xfId="3091" xr:uid="{58EA77D3-61C1-459C-86D8-775E2E7750F6}"/>
    <cellStyle name="Normal 2 3 7" xfId="953" xr:uid="{00000000-0005-0000-0000-000025050000}"/>
    <cellStyle name="Normal 2 3 7 2" xfId="2114" xr:uid="{00000000-0005-0000-0000-000026050000}"/>
    <cellStyle name="Normal 2 3 7 2 2" xfId="3384" xr:uid="{C96260A1-99BB-4717-81DC-6502A5706B50}"/>
    <cellStyle name="Normal 2 3 7 3" xfId="3092" xr:uid="{ED31184F-0FC2-4CBD-8732-32A80986D105}"/>
    <cellStyle name="Normal 2 3 8" xfId="954" xr:uid="{00000000-0005-0000-0000-000027050000}"/>
    <cellStyle name="Normal 2 3 8 2" xfId="2115" xr:uid="{00000000-0005-0000-0000-000028050000}"/>
    <cellStyle name="Normal 2 3 8 2 2" xfId="3385" xr:uid="{87BDD2E1-6E95-4B1E-B865-3FFA3E7665EC}"/>
    <cellStyle name="Normal 2 3 8 3" xfId="3093" xr:uid="{0E19BEEF-1971-41AA-B9D4-14C6DF49A863}"/>
    <cellStyle name="Normal 2 3 9" xfId="955" xr:uid="{00000000-0005-0000-0000-000029050000}"/>
    <cellStyle name="Normal 2 3 9 2" xfId="2116" xr:uid="{00000000-0005-0000-0000-00002A050000}"/>
    <cellStyle name="Normal 2 3 9 2 2" xfId="3386" xr:uid="{DEC83647-FC2A-427C-BAEB-09E9F6197005}"/>
    <cellStyle name="Normal 2 3 9 3" xfId="3094" xr:uid="{02117FC9-3B9A-407D-9F4B-F36801D7283D}"/>
    <cellStyle name="Normal 2 4" xfId="956" xr:uid="{00000000-0005-0000-0000-00002B050000}"/>
    <cellStyle name="Normal 2 4 10" xfId="957" xr:uid="{00000000-0005-0000-0000-00002C050000}"/>
    <cellStyle name="Normal 2 4 10 2" xfId="2118" xr:uid="{00000000-0005-0000-0000-00002D050000}"/>
    <cellStyle name="Normal 2 4 10 2 2" xfId="3387" xr:uid="{FF760965-556B-40FE-BC67-4E6A161615CC}"/>
    <cellStyle name="Normal 2 4 10 3" xfId="3095" xr:uid="{AC91CEC5-5F39-40D6-A3FC-A2BAB5D69117}"/>
    <cellStyle name="Normal 2 4 11" xfId="958" xr:uid="{00000000-0005-0000-0000-00002E050000}"/>
    <cellStyle name="Normal 2 4 11 2" xfId="2119" xr:uid="{00000000-0005-0000-0000-00002F050000}"/>
    <cellStyle name="Normal 2 4 11 2 2" xfId="3388" xr:uid="{D167C6F6-EFD9-40E4-BC56-E5C32B7FB44D}"/>
    <cellStyle name="Normal 2 4 11 3" xfId="3096" xr:uid="{6789E8C6-8EA8-4123-BB81-D1FF32EF12EF}"/>
    <cellStyle name="Normal 2 4 12" xfId="959" xr:uid="{00000000-0005-0000-0000-000030050000}"/>
    <cellStyle name="Normal 2 4 12 2" xfId="2120" xr:uid="{00000000-0005-0000-0000-000031050000}"/>
    <cellStyle name="Normal 2 4 12 2 2" xfId="3389" xr:uid="{2B83750E-437F-4503-9654-22E38B8F1703}"/>
    <cellStyle name="Normal 2 4 12 3" xfId="3097" xr:uid="{D1D0CA0F-1AA6-4E87-8417-52414CA308B0}"/>
    <cellStyle name="Normal 2 4 13" xfId="960" xr:uid="{00000000-0005-0000-0000-000032050000}"/>
    <cellStyle name="Normal 2 4 13 2" xfId="2121" xr:uid="{00000000-0005-0000-0000-000033050000}"/>
    <cellStyle name="Normal 2 4 13 2 2" xfId="3390" xr:uid="{00CC5070-7BF1-4894-98EE-E867DAD76772}"/>
    <cellStyle name="Normal 2 4 13 3" xfId="3098" xr:uid="{46214377-4DDA-443D-9170-072A8AAE8627}"/>
    <cellStyle name="Normal 2 4 14" xfId="2117" xr:uid="{00000000-0005-0000-0000-000034050000}"/>
    <cellStyle name="Normal 2 4 2" xfId="961" xr:uid="{00000000-0005-0000-0000-000035050000}"/>
    <cellStyle name="Normal 2 4 2 2" xfId="2122" xr:uid="{00000000-0005-0000-0000-000036050000}"/>
    <cellStyle name="Normal 2 4 2 2 2" xfId="3391" xr:uid="{A33A8622-E04E-4311-9C39-CFA4BFE556CD}"/>
    <cellStyle name="Normal 2 4 2 3" xfId="3099" xr:uid="{F1C139CA-53D8-4E28-B2C0-8A8DC4520CDA}"/>
    <cellStyle name="Normal 2 4 3" xfId="962" xr:uid="{00000000-0005-0000-0000-000037050000}"/>
    <cellStyle name="Normal 2 4 3 2" xfId="2123" xr:uid="{00000000-0005-0000-0000-000038050000}"/>
    <cellStyle name="Normal 2 4 3 2 2" xfId="3392" xr:uid="{74425CB3-6AA1-40AD-8ED7-7FED12E2F4FE}"/>
    <cellStyle name="Normal 2 4 3 3" xfId="3100" xr:uid="{8A3F3BCD-E515-4075-9EA6-CAC1112B59E7}"/>
    <cellStyle name="Normal 2 4 4" xfId="963" xr:uid="{00000000-0005-0000-0000-000039050000}"/>
    <cellStyle name="Normal 2 4 4 2" xfId="2124" xr:uid="{00000000-0005-0000-0000-00003A050000}"/>
    <cellStyle name="Normal 2 4 4 2 2" xfId="3393" xr:uid="{451E916F-120E-45F7-88EE-B3230CBC4362}"/>
    <cellStyle name="Normal 2 4 4 3" xfId="3101" xr:uid="{6948EB6A-AB5B-4A36-A892-27EA87CCE226}"/>
    <cellStyle name="Normal 2 4 5" xfId="964" xr:uid="{00000000-0005-0000-0000-00003B050000}"/>
    <cellStyle name="Normal 2 4 5 2" xfId="2125" xr:uid="{00000000-0005-0000-0000-00003C050000}"/>
    <cellStyle name="Normal 2 4 5 2 2" xfId="3394" xr:uid="{14289069-D876-468B-93EE-A43F9F6ADBDE}"/>
    <cellStyle name="Normal 2 4 5 3" xfId="3102" xr:uid="{5135E9B0-98A6-4F06-862A-3F56EBBF3FA6}"/>
    <cellStyle name="Normal 2 4 6" xfId="965" xr:uid="{00000000-0005-0000-0000-00003D050000}"/>
    <cellStyle name="Normal 2 4 6 2" xfId="2126" xr:uid="{00000000-0005-0000-0000-00003E050000}"/>
    <cellStyle name="Normal 2 4 6 2 2" xfId="3395" xr:uid="{B0970B63-1BF3-4BE5-9575-583E5F8CB637}"/>
    <cellStyle name="Normal 2 4 6 3" xfId="3103" xr:uid="{4417103F-9665-467B-BE9B-B0F9249B5B53}"/>
    <cellStyle name="Normal 2 4 7" xfId="966" xr:uid="{00000000-0005-0000-0000-00003F050000}"/>
    <cellStyle name="Normal 2 4 7 2" xfId="2127" xr:uid="{00000000-0005-0000-0000-000040050000}"/>
    <cellStyle name="Normal 2 4 7 2 2" xfId="3396" xr:uid="{E64D9F6F-745E-44B1-BC71-C3E023B9BBF1}"/>
    <cellStyle name="Normal 2 4 7 3" xfId="3104" xr:uid="{B891435A-7E37-4D34-8E8A-63B9BF3AF2F0}"/>
    <cellStyle name="Normal 2 4 8" xfId="967" xr:uid="{00000000-0005-0000-0000-000041050000}"/>
    <cellStyle name="Normal 2 4 8 2" xfId="2128" xr:uid="{00000000-0005-0000-0000-000042050000}"/>
    <cellStyle name="Normal 2 4 8 2 2" xfId="3397" xr:uid="{859C61BE-5E34-4CFA-9FDA-3B6CF576C971}"/>
    <cellStyle name="Normal 2 4 8 3" xfId="3105" xr:uid="{E4720324-D9F0-48D3-8B77-6B4FEBACFB18}"/>
    <cellStyle name="Normal 2 4 9" xfId="968" xr:uid="{00000000-0005-0000-0000-000043050000}"/>
    <cellStyle name="Normal 2 4 9 2" xfId="2129" xr:uid="{00000000-0005-0000-0000-000044050000}"/>
    <cellStyle name="Normal 2 4 9 2 2" xfId="3398" xr:uid="{7D7375C9-AE14-446E-B2EF-CBC7CC11CE9B}"/>
    <cellStyle name="Normal 2 4 9 3" xfId="3106" xr:uid="{6F5ECDBC-00C4-4A8F-AF32-83B1E5AA5F2C}"/>
    <cellStyle name="Normal 2 5" xfId="969" xr:uid="{00000000-0005-0000-0000-000045050000}"/>
    <cellStyle name="Normal 2 5 2" xfId="2130" xr:uid="{00000000-0005-0000-0000-000046050000}"/>
    <cellStyle name="Normal 2 6" xfId="970" xr:uid="{00000000-0005-0000-0000-000047050000}"/>
    <cellStyle name="Normal 2 6 2" xfId="2131" xr:uid="{00000000-0005-0000-0000-000048050000}"/>
    <cellStyle name="Normal 2 7" xfId="971" xr:uid="{00000000-0005-0000-0000-000049050000}"/>
    <cellStyle name="Normal 2 7 2" xfId="2132" xr:uid="{00000000-0005-0000-0000-00004A050000}"/>
    <cellStyle name="Normal 2 8" xfId="972" xr:uid="{00000000-0005-0000-0000-00004B050000}"/>
    <cellStyle name="Normal 2 8 2" xfId="2133" xr:uid="{00000000-0005-0000-0000-00004C050000}"/>
    <cellStyle name="Normal 2 9" xfId="973" xr:uid="{00000000-0005-0000-0000-00004D050000}"/>
    <cellStyle name="Normal 2 9 2" xfId="2134" xr:uid="{00000000-0005-0000-0000-00004E050000}"/>
    <cellStyle name="Normal 20" xfId="974" xr:uid="{00000000-0005-0000-0000-00004F050000}"/>
    <cellStyle name="Normal 21" xfId="975" xr:uid="{00000000-0005-0000-0000-000050050000}"/>
    <cellStyle name="Normal 21 2" xfId="2135" xr:uid="{00000000-0005-0000-0000-000051050000}"/>
    <cellStyle name="Normal 26" xfId="976" xr:uid="{00000000-0005-0000-0000-000052050000}"/>
    <cellStyle name="Normal 26 2" xfId="2136" xr:uid="{00000000-0005-0000-0000-000053050000}"/>
    <cellStyle name="Normal 3" xfId="977" xr:uid="{00000000-0005-0000-0000-000054050000}"/>
    <cellStyle name="Normal 3 10" xfId="978" xr:uid="{00000000-0005-0000-0000-000055050000}"/>
    <cellStyle name="Normal 3 10 2" xfId="2138" xr:uid="{00000000-0005-0000-0000-000056050000}"/>
    <cellStyle name="Normal 3 11" xfId="979" xr:uid="{00000000-0005-0000-0000-000057050000}"/>
    <cellStyle name="Normal 3 11 2" xfId="2139" xr:uid="{00000000-0005-0000-0000-000058050000}"/>
    <cellStyle name="Normal 3 12" xfId="980" xr:uid="{00000000-0005-0000-0000-000059050000}"/>
    <cellStyle name="Normal 3 12 2" xfId="2140" xr:uid="{00000000-0005-0000-0000-00005A050000}"/>
    <cellStyle name="Normal 3 13" xfId="981" xr:uid="{00000000-0005-0000-0000-00005B050000}"/>
    <cellStyle name="Normal 3 13 2" xfId="2141" xr:uid="{00000000-0005-0000-0000-00005C050000}"/>
    <cellStyle name="Normal 3 14" xfId="2137" xr:uid="{00000000-0005-0000-0000-00005D050000}"/>
    <cellStyle name="Normal 3 14 2" xfId="3399" xr:uid="{A84E6288-01CD-4734-8F18-263F9E1E4EB8}"/>
    <cellStyle name="Normal 3 15" xfId="3107" xr:uid="{FD2E1645-BEB8-4661-9F56-7A6E31847A79}"/>
    <cellStyle name="Normal 3 2" xfId="982" xr:uid="{00000000-0005-0000-0000-00005E050000}"/>
    <cellStyle name="Normal 3 2 2" xfId="983" xr:uid="{00000000-0005-0000-0000-00005F050000}"/>
    <cellStyle name="Normal 3 2 2 2" xfId="2143" xr:uid="{00000000-0005-0000-0000-000060050000}"/>
    <cellStyle name="Normal 3 2 3" xfId="984" xr:uid="{00000000-0005-0000-0000-000061050000}"/>
    <cellStyle name="Normal 3 2 3 2" xfId="2144" xr:uid="{00000000-0005-0000-0000-000062050000}"/>
    <cellStyle name="Normal 3 2 4" xfId="985" xr:uid="{00000000-0005-0000-0000-000063050000}"/>
    <cellStyle name="Normal 3 2 4 2" xfId="2145" xr:uid="{00000000-0005-0000-0000-000064050000}"/>
    <cellStyle name="Normal 3 2 5" xfId="986" xr:uid="{00000000-0005-0000-0000-000065050000}"/>
    <cellStyle name="Normal 3 2 5 2" xfId="2146" xr:uid="{00000000-0005-0000-0000-000066050000}"/>
    <cellStyle name="Normal 3 2 6" xfId="987" xr:uid="{00000000-0005-0000-0000-000067050000}"/>
    <cellStyle name="Normal 3 2 6 2" xfId="2147" xr:uid="{00000000-0005-0000-0000-000068050000}"/>
    <cellStyle name="Normal 3 2 7" xfId="988" xr:uid="{00000000-0005-0000-0000-000069050000}"/>
    <cellStyle name="Normal 3 2 7 2" xfId="2148" xr:uid="{00000000-0005-0000-0000-00006A050000}"/>
    <cellStyle name="Normal 3 2 8" xfId="989" xr:uid="{00000000-0005-0000-0000-00006B050000}"/>
    <cellStyle name="Normal 3 2 8 2" xfId="2149" xr:uid="{00000000-0005-0000-0000-00006C050000}"/>
    <cellStyle name="Normal 3 2 9" xfId="2142" xr:uid="{00000000-0005-0000-0000-00006D050000}"/>
    <cellStyle name="Normal 3 3" xfId="990" xr:uid="{00000000-0005-0000-0000-00006E050000}"/>
    <cellStyle name="Normal 3 3 2" xfId="991" xr:uid="{00000000-0005-0000-0000-00006F050000}"/>
    <cellStyle name="Normal 3 3 2 2" xfId="2151" xr:uid="{00000000-0005-0000-0000-000070050000}"/>
    <cellStyle name="Normal 3 3 3" xfId="992" xr:uid="{00000000-0005-0000-0000-000071050000}"/>
    <cellStyle name="Normal 3 3 3 2" xfId="2152" xr:uid="{00000000-0005-0000-0000-000072050000}"/>
    <cellStyle name="Normal 3 3 4" xfId="993" xr:uid="{00000000-0005-0000-0000-000073050000}"/>
    <cellStyle name="Normal 3 3 4 2" xfId="2153" xr:uid="{00000000-0005-0000-0000-000074050000}"/>
    <cellStyle name="Normal 3 3 5" xfId="994" xr:uid="{00000000-0005-0000-0000-000075050000}"/>
    <cellStyle name="Normal 3 3 5 2" xfId="2154" xr:uid="{00000000-0005-0000-0000-000076050000}"/>
    <cellStyle name="Normal 3 3 6" xfId="995" xr:uid="{00000000-0005-0000-0000-000077050000}"/>
    <cellStyle name="Normal 3 3 6 2" xfId="2155" xr:uid="{00000000-0005-0000-0000-000078050000}"/>
    <cellStyle name="Normal 3 3 7" xfId="996" xr:uid="{00000000-0005-0000-0000-000079050000}"/>
    <cellStyle name="Normal 3 3 7 2" xfId="2156" xr:uid="{00000000-0005-0000-0000-00007A050000}"/>
    <cellStyle name="Normal 3 3 8" xfId="997" xr:uid="{00000000-0005-0000-0000-00007B050000}"/>
    <cellStyle name="Normal 3 3 8 2" xfId="2157" xr:uid="{00000000-0005-0000-0000-00007C050000}"/>
    <cellStyle name="Normal 3 3 9" xfId="2150" xr:uid="{00000000-0005-0000-0000-00007D050000}"/>
    <cellStyle name="Normal 3 4" xfId="998" xr:uid="{00000000-0005-0000-0000-00007E050000}"/>
    <cellStyle name="Normal 3 4 2" xfId="999" xr:uid="{00000000-0005-0000-0000-00007F050000}"/>
    <cellStyle name="Normal 3 4 2 2" xfId="2159" xr:uid="{00000000-0005-0000-0000-000080050000}"/>
    <cellStyle name="Normal 3 4 3" xfId="1000" xr:uid="{00000000-0005-0000-0000-000081050000}"/>
    <cellStyle name="Normal 3 4 3 2" xfId="2160" xr:uid="{00000000-0005-0000-0000-000082050000}"/>
    <cellStyle name="Normal 3 4 4" xfId="1001" xr:uid="{00000000-0005-0000-0000-000083050000}"/>
    <cellStyle name="Normal 3 4 4 2" xfId="2161" xr:uid="{00000000-0005-0000-0000-000084050000}"/>
    <cellStyle name="Normal 3 4 5" xfId="1002" xr:uid="{00000000-0005-0000-0000-000085050000}"/>
    <cellStyle name="Normal 3 4 5 2" xfId="2162" xr:uid="{00000000-0005-0000-0000-000086050000}"/>
    <cellStyle name="Normal 3 4 6" xfId="1003" xr:uid="{00000000-0005-0000-0000-000087050000}"/>
    <cellStyle name="Normal 3 4 6 2" xfId="2163" xr:uid="{00000000-0005-0000-0000-000088050000}"/>
    <cellStyle name="Normal 3 4 7" xfId="1004" xr:uid="{00000000-0005-0000-0000-000089050000}"/>
    <cellStyle name="Normal 3 4 7 2" xfId="2164" xr:uid="{00000000-0005-0000-0000-00008A050000}"/>
    <cellStyle name="Normal 3 4 8" xfId="1005" xr:uid="{00000000-0005-0000-0000-00008B050000}"/>
    <cellStyle name="Normal 3 4 8 2" xfId="2165" xr:uid="{00000000-0005-0000-0000-00008C050000}"/>
    <cellStyle name="Normal 3 4 9" xfId="2158" xr:uid="{00000000-0005-0000-0000-00008D050000}"/>
    <cellStyle name="Normal 3 5" xfId="1006" xr:uid="{00000000-0005-0000-0000-00008E050000}"/>
    <cellStyle name="Normal 3 5 2" xfId="1007" xr:uid="{00000000-0005-0000-0000-00008F050000}"/>
    <cellStyle name="Normal 3 5 2 2" xfId="2167" xr:uid="{00000000-0005-0000-0000-000090050000}"/>
    <cellStyle name="Normal 3 5 3" xfId="1008" xr:uid="{00000000-0005-0000-0000-000091050000}"/>
    <cellStyle name="Normal 3 5 3 2" xfId="2168" xr:uid="{00000000-0005-0000-0000-000092050000}"/>
    <cellStyle name="Normal 3 5 4" xfId="1009" xr:uid="{00000000-0005-0000-0000-000093050000}"/>
    <cellStyle name="Normal 3 5 4 2" xfId="2169" xr:uid="{00000000-0005-0000-0000-000094050000}"/>
    <cellStyle name="Normal 3 5 5" xfId="1010" xr:uid="{00000000-0005-0000-0000-000095050000}"/>
    <cellStyle name="Normal 3 5 5 2" xfId="2170" xr:uid="{00000000-0005-0000-0000-000096050000}"/>
    <cellStyle name="Normal 3 5 6" xfId="1011" xr:uid="{00000000-0005-0000-0000-000097050000}"/>
    <cellStyle name="Normal 3 5 6 2" xfId="2171" xr:uid="{00000000-0005-0000-0000-000098050000}"/>
    <cellStyle name="Normal 3 5 7" xfId="1012" xr:uid="{00000000-0005-0000-0000-000099050000}"/>
    <cellStyle name="Normal 3 5 7 2" xfId="2172" xr:uid="{00000000-0005-0000-0000-00009A050000}"/>
    <cellStyle name="Normal 3 5 8" xfId="1013" xr:uid="{00000000-0005-0000-0000-00009B050000}"/>
    <cellStyle name="Normal 3 5 8 2" xfId="2173" xr:uid="{00000000-0005-0000-0000-00009C050000}"/>
    <cellStyle name="Normal 3 5 9" xfId="2166" xr:uid="{00000000-0005-0000-0000-00009D050000}"/>
    <cellStyle name="Normal 3 6" xfId="1014" xr:uid="{00000000-0005-0000-0000-00009E050000}"/>
    <cellStyle name="Normal 3 6 2" xfId="2174" xr:uid="{00000000-0005-0000-0000-00009F050000}"/>
    <cellStyle name="Normal 3 7" xfId="1015" xr:uid="{00000000-0005-0000-0000-0000A0050000}"/>
    <cellStyle name="Normal 3 7 2" xfId="2175" xr:uid="{00000000-0005-0000-0000-0000A1050000}"/>
    <cellStyle name="Normal 3 8" xfId="1016" xr:uid="{00000000-0005-0000-0000-0000A2050000}"/>
    <cellStyle name="Normal 3 8 2" xfId="2176" xr:uid="{00000000-0005-0000-0000-0000A3050000}"/>
    <cellStyle name="Normal 3 9" xfId="1017" xr:uid="{00000000-0005-0000-0000-0000A4050000}"/>
    <cellStyle name="Normal 3 9 2" xfId="2177" xr:uid="{00000000-0005-0000-0000-0000A5050000}"/>
    <cellStyle name="Normal 4" xfId="1018" xr:uid="{00000000-0005-0000-0000-0000A6050000}"/>
    <cellStyle name="Normal 4 10" xfId="1019" xr:uid="{00000000-0005-0000-0000-0000A7050000}"/>
    <cellStyle name="Normal 4 10 2" xfId="2179" xr:uid="{00000000-0005-0000-0000-0000A8050000}"/>
    <cellStyle name="Normal 4 11" xfId="1020" xr:uid="{00000000-0005-0000-0000-0000A9050000}"/>
    <cellStyle name="Normal 4 11 2" xfId="2180" xr:uid="{00000000-0005-0000-0000-0000AA050000}"/>
    <cellStyle name="Normal 4 12" xfId="1021" xr:uid="{00000000-0005-0000-0000-0000AB050000}"/>
    <cellStyle name="Normal 4 12 2" xfId="2181" xr:uid="{00000000-0005-0000-0000-0000AC050000}"/>
    <cellStyle name="Normal 4 13" xfId="2178" xr:uid="{00000000-0005-0000-0000-0000AD050000}"/>
    <cellStyle name="Normal 4 2" xfId="1022" xr:uid="{00000000-0005-0000-0000-0000AE050000}"/>
    <cellStyle name="Normal 4 2 2" xfId="1023" xr:uid="{00000000-0005-0000-0000-0000AF050000}"/>
    <cellStyle name="Normal 4 2 2 10" xfId="1024" xr:uid="{00000000-0005-0000-0000-0000B0050000}"/>
    <cellStyle name="Normal 4 2 2 10 2" xfId="2184" xr:uid="{00000000-0005-0000-0000-0000B1050000}"/>
    <cellStyle name="Normal 4 2 2 10 2 2" xfId="3400" xr:uid="{4FA17F7E-EE78-42A6-BCC9-4AF91629720F}"/>
    <cellStyle name="Normal 4 2 2 10 3" xfId="3108" xr:uid="{C5D40AE4-24D4-4C0D-9E7B-9A773EDD0801}"/>
    <cellStyle name="Normal 4 2 2 11" xfId="1025" xr:uid="{00000000-0005-0000-0000-0000B2050000}"/>
    <cellStyle name="Normal 4 2 2 11 2" xfId="2185" xr:uid="{00000000-0005-0000-0000-0000B3050000}"/>
    <cellStyle name="Normal 4 2 2 11 2 2" xfId="3401" xr:uid="{86DEBA26-1DEF-4FB7-A9D4-6566CA1C6B66}"/>
    <cellStyle name="Normal 4 2 2 11 3" xfId="3109" xr:uid="{ABA6CD3C-B69B-4B78-8DA3-24B0A32E48B7}"/>
    <cellStyle name="Normal 4 2 2 12" xfId="1026" xr:uid="{00000000-0005-0000-0000-0000B4050000}"/>
    <cellStyle name="Normal 4 2 2 12 2" xfId="2186" xr:uid="{00000000-0005-0000-0000-0000B5050000}"/>
    <cellStyle name="Normal 4 2 2 12 2 2" xfId="3402" xr:uid="{11652BE5-A53A-4CFE-BC82-F1B754BBC348}"/>
    <cellStyle name="Normal 4 2 2 12 3" xfId="3110" xr:uid="{BE00A9DD-F73D-4890-B68A-6E718E8B493C}"/>
    <cellStyle name="Normal 4 2 2 13" xfId="1027" xr:uid="{00000000-0005-0000-0000-0000B6050000}"/>
    <cellStyle name="Normal 4 2 2 13 2" xfId="2187" xr:uid="{00000000-0005-0000-0000-0000B7050000}"/>
    <cellStyle name="Normal 4 2 2 13 2 2" xfId="3403" xr:uid="{1B3A96D5-E7D8-41F3-872D-ED37E0DADEDB}"/>
    <cellStyle name="Normal 4 2 2 13 3" xfId="3111" xr:uid="{30760F7E-98C0-421A-A4B9-AD08C6EC696B}"/>
    <cellStyle name="Normal 4 2 2 14" xfId="2183" xr:uid="{00000000-0005-0000-0000-0000B8050000}"/>
    <cellStyle name="Normal 4 2 2 2" xfId="1028" xr:uid="{00000000-0005-0000-0000-0000B9050000}"/>
    <cellStyle name="Normal 4 2 2 2 10" xfId="1029" xr:uid="{00000000-0005-0000-0000-0000BA050000}"/>
    <cellStyle name="Normal 4 2 2 2 10 2" xfId="2189" xr:uid="{00000000-0005-0000-0000-0000BB050000}"/>
    <cellStyle name="Normal 4 2 2 2 11" xfId="1030" xr:uid="{00000000-0005-0000-0000-0000BC050000}"/>
    <cellStyle name="Normal 4 2 2 2 11 2" xfId="2190" xr:uid="{00000000-0005-0000-0000-0000BD050000}"/>
    <cellStyle name="Normal 4 2 2 2 12" xfId="1031" xr:uid="{00000000-0005-0000-0000-0000BE050000}"/>
    <cellStyle name="Normal 4 2 2 2 12 2" xfId="2191" xr:uid="{00000000-0005-0000-0000-0000BF050000}"/>
    <cellStyle name="Normal 4 2 2 2 13" xfId="1032" xr:uid="{00000000-0005-0000-0000-0000C0050000}"/>
    <cellStyle name="Normal 4 2 2 2 13 2" xfId="2192" xr:uid="{00000000-0005-0000-0000-0000C1050000}"/>
    <cellStyle name="Normal 4 2 2 2 14" xfId="2188" xr:uid="{00000000-0005-0000-0000-0000C2050000}"/>
    <cellStyle name="Normal 4 2 2 2 14 2" xfId="3404" xr:uid="{86BECF03-436B-452A-B6D6-CC2CF1E18398}"/>
    <cellStyle name="Normal 4 2 2 2 15" xfId="3112" xr:uid="{36CD0C34-7923-49FC-B1B5-E0F35AFBA583}"/>
    <cellStyle name="Normal 4 2 2 2 2" xfId="1033" xr:uid="{00000000-0005-0000-0000-0000C3050000}"/>
    <cellStyle name="Normal 4 2 2 2 2 2" xfId="2193" xr:uid="{00000000-0005-0000-0000-0000C4050000}"/>
    <cellStyle name="Normal 4 2 2 2 3" xfId="1034" xr:uid="{00000000-0005-0000-0000-0000C5050000}"/>
    <cellStyle name="Normal 4 2 2 2 3 2" xfId="2194" xr:uid="{00000000-0005-0000-0000-0000C6050000}"/>
    <cellStyle name="Normal 4 2 2 2 4" xfId="1035" xr:uid="{00000000-0005-0000-0000-0000C7050000}"/>
    <cellStyle name="Normal 4 2 2 2 4 2" xfId="2195" xr:uid="{00000000-0005-0000-0000-0000C8050000}"/>
    <cellStyle name="Normal 4 2 2 2 5" xfId="1036" xr:uid="{00000000-0005-0000-0000-0000C9050000}"/>
    <cellStyle name="Normal 4 2 2 2 5 2" xfId="2196" xr:uid="{00000000-0005-0000-0000-0000CA050000}"/>
    <cellStyle name="Normal 4 2 2 2 6" xfId="1037" xr:uid="{00000000-0005-0000-0000-0000CB050000}"/>
    <cellStyle name="Normal 4 2 2 2 6 2" xfId="2197" xr:uid="{00000000-0005-0000-0000-0000CC050000}"/>
    <cellStyle name="Normal 4 2 2 2 7" xfId="1038" xr:uid="{00000000-0005-0000-0000-0000CD050000}"/>
    <cellStyle name="Normal 4 2 2 2 7 2" xfId="2198" xr:uid="{00000000-0005-0000-0000-0000CE050000}"/>
    <cellStyle name="Normal 4 2 2 2 8" xfId="1039" xr:uid="{00000000-0005-0000-0000-0000CF050000}"/>
    <cellStyle name="Normal 4 2 2 2 8 2" xfId="2199" xr:uid="{00000000-0005-0000-0000-0000D0050000}"/>
    <cellStyle name="Normal 4 2 2 2 9" xfId="1040" xr:uid="{00000000-0005-0000-0000-0000D1050000}"/>
    <cellStyle name="Normal 4 2 2 2 9 2" xfId="2200" xr:uid="{00000000-0005-0000-0000-0000D2050000}"/>
    <cellStyle name="Normal 4 2 2 3" xfId="1041" xr:uid="{00000000-0005-0000-0000-0000D3050000}"/>
    <cellStyle name="Normal 4 2 2 3 2" xfId="2201" xr:uid="{00000000-0005-0000-0000-0000D4050000}"/>
    <cellStyle name="Normal 4 2 2 3 2 2" xfId="3405" xr:uid="{95486A2D-3E28-46B7-9DD1-A495257761E5}"/>
    <cellStyle name="Normal 4 2 2 3 3" xfId="3113" xr:uid="{EB5B8D21-AD6C-4DDC-A5A9-2BA98650AC9B}"/>
    <cellStyle name="Normal 4 2 2 4" xfId="1042" xr:uid="{00000000-0005-0000-0000-0000D5050000}"/>
    <cellStyle name="Normal 4 2 2 4 2" xfId="2202" xr:uid="{00000000-0005-0000-0000-0000D6050000}"/>
    <cellStyle name="Normal 4 2 2 4 2 2" xfId="3406" xr:uid="{2F48E606-F722-4ACC-8BEA-B59AF47F5CE0}"/>
    <cellStyle name="Normal 4 2 2 4 3" xfId="3114" xr:uid="{5DDC8FB9-BDBF-4BE5-AC74-BAAAF53B5E53}"/>
    <cellStyle name="Normal 4 2 2 5" xfId="1043" xr:uid="{00000000-0005-0000-0000-0000D7050000}"/>
    <cellStyle name="Normal 4 2 2 5 2" xfId="2203" xr:uid="{00000000-0005-0000-0000-0000D8050000}"/>
    <cellStyle name="Normal 4 2 2 5 2 2" xfId="3407" xr:uid="{3F3C7B0B-3418-45CF-BF0E-9E0B762D0BAF}"/>
    <cellStyle name="Normal 4 2 2 5 3" xfId="3115" xr:uid="{41ACBDE6-66AF-4553-A39F-5358C0EA8BDB}"/>
    <cellStyle name="Normal 4 2 2 6" xfId="1044" xr:uid="{00000000-0005-0000-0000-0000D9050000}"/>
    <cellStyle name="Normal 4 2 2 6 2" xfId="2204" xr:uid="{00000000-0005-0000-0000-0000DA050000}"/>
    <cellStyle name="Normal 4 2 2 6 2 2" xfId="3408" xr:uid="{5F98EDE0-3B1C-4AA6-8103-B109823828B6}"/>
    <cellStyle name="Normal 4 2 2 6 3" xfId="3116" xr:uid="{89B1A742-6465-4426-8D55-757DD48CAC0F}"/>
    <cellStyle name="Normal 4 2 2 7" xfId="1045" xr:uid="{00000000-0005-0000-0000-0000DB050000}"/>
    <cellStyle name="Normal 4 2 2 7 2" xfId="2205" xr:uid="{00000000-0005-0000-0000-0000DC050000}"/>
    <cellStyle name="Normal 4 2 2 7 2 2" xfId="3409" xr:uid="{8F6DF975-15C8-4C4E-B28F-E2452DC1600A}"/>
    <cellStyle name="Normal 4 2 2 7 3" xfId="3117" xr:uid="{FDCC3B90-D463-4398-BFB7-96AD8350308B}"/>
    <cellStyle name="Normal 4 2 2 8" xfId="1046" xr:uid="{00000000-0005-0000-0000-0000DD050000}"/>
    <cellStyle name="Normal 4 2 2 8 2" xfId="2206" xr:uid="{00000000-0005-0000-0000-0000DE050000}"/>
    <cellStyle name="Normal 4 2 2 8 2 2" xfId="3410" xr:uid="{AA10DE85-4220-4687-A17C-A07F6BD0D4E2}"/>
    <cellStyle name="Normal 4 2 2 8 3" xfId="3118" xr:uid="{CF028326-9758-49F7-B35A-C3EF7408FC3E}"/>
    <cellStyle name="Normal 4 2 2 9" xfId="1047" xr:uid="{00000000-0005-0000-0000-0000DF050000}"/>
    <cellStyle name="Normal 4 2 2 9 2" xfId="2207" xr:uid="{00000000-0005-0000-0000-0000E0050000}"/>
    <cellStyle name="Normal 4 2 2 9 2 2" xfId="3411" xr:uid="{C76ACB96-47C7-4869-B860-983B460A4AC1}"/>
    <cellStyle name="Normal 4 2 2 9 3" xfId="3119" xr:uid="{7C80A566-F667-4765-A6BE-58BF422A2F1F}"/>
    <cellStyle name="Normal 4 2 3" xfId="1048" xr:uid="{00000000-0005-0000-0000-0000E1050000}"/>
    <cellStyle name="Normal 4 2 3 2" xfId="2208" xr:uid="{00000000-0005-0000-0000-0000E2050000}"/>
    <cellStyle name="Normal 4 2 4" xfId="1049" xr:uid="{00000000-0005-0000-0000-0000E3050000}"/>
    <cellStyle name="Normal 4 2 4 2" xfId="2209" xr:uid="{00000000-0005-0000-0000-0000E4050000}"/>
    <cellStyle name="Normal 4 2 5" xfId="1050" xr:uid="{00000000-0005-0000-0000-0000E5050000}"/>
    <cellStyle name="Normal 4 2 5 2" xfId="2210" xr:uid="{00000000-0005-0000-0000-0000E6050000}"/>
    <cellStyle name="Normal 4 2 6" xfId="1051" xr:uid="{00000000-0005-0000-0000-0000E7050000}"/>
    <cellStyle name="Normal 4 2 6 2" xfId="2211" xr:uid="{00000000-0005-0000-0000-0000E8050000}"/>
    <cellStyle name="Normal 4 2 7" xfId="1052" xr:uid="{00000000-0005-0000-0000-0000E9050000}"/>
    <cellStyle name="Normal 4 2 7 2" xfId="2212" xr:uid="{00000000-0005-0000-0000-0000EA050000}"/>
    <cellStyle name="Normal 4 2 8" xfId="1053" xr:uid="{00000000-0005-0000-0000-0000EB050000}"/>
    <cellStyle name="Normal 4 2 8 2" xfId="2213" xr:uid="{00000000-0005-0000-0000-0000EC050000}"/>
    <cellStyle name="Normal 4 2 9" xfId="2182" xr:uid="{00000000-0005-0000-0000-0000ED050000}"/>
    <cellStyle name="Normal 4 3" xfId="1054" xr:uid="{00000000-0005-0000-0000-0000EE050000}"/>
    <cellStyle name="Normal 4 3 2" xfId="1055" xr:uid="{00000000-0005-0000-0000-0000EF050000}"/>
    <cellStyle name="Normal 4 3 2 2" xfId="2215" xr:uid="{00000000-0005-0000-0000-0000F0050000}"/>
    <cellStyle name="Normal 4 3 3" xfId="1056" xr:uid="{00000000-0005-0000-0000-0000F1050000}"/>
    <cellStyle name="Normal 4 3 3 2" xfId="2216" xr:uid="{00000000-0005-0000-0000-0000F2050000}"/>
    <cellStyle name="Normal 4 3 4" xfId="1057" xr:uid="{00000000-0005-0000-0000-0000F3050000}"/>
    <cellStyle name="Normal 4 3 4 2" xfId="2217" xr:uid="{00000000-0005-0000-0000-0000F4050000}"/>
    <cellStyle name="Normal 4 3 5" xfId="1058" xr:uid="{00000000-0005-0000-0000-0000F5050000}"/>
    <cellStyle name="Normal 4 3 5 2" xfId="2218" xr:uid="{00000000-0005-0000-0000-0000F6050000}"/>
    <cellStyle name="Normal 4 3 6" xfId="1059" xr:uid="{00000000-0005-0000-0000-0000F7050000}"/>
    <cellStyle name="Normal 4 3 6 2" xfId="2219" xr:uid="{00000000-0005-0000-0000-0000F8050000}"/>
    <cellStyle name="Normal 4 3 7" xfId="1060" xr:uid="{00000000-0005-0000-0000-0000F9050000}"/>
    <cellStyle name="Normal 4 3 7 2" xfId="2220" xr:uid="{00000000-0005-0000-0000-0000FA050000}"/>
    <cellStyle name="Normal 4 3 8" xfId="1061" xr:uid="{00000000-0005-0000-0000-0000FB050000}"/>
    <cellStyle name="Normal 4 3 8 2" xfId="2221" xr:uid="{00000000-0005-0000-0000-0000FC050000}"/>
    <cellStyle name="Normal 4 3 9" xfId="2214" xr:uid="{00000000-0005-0000-0000-0000FD050000}"/>
    <cellStyle name="Normal 4 4" xfId="1062" xr:uid="{00000000-0005-0000-0000-0000FE050000}"/>
    <cellStyle name="Normal 4 4 2" xfId="1063" xr:uid="{00000000-0005-0000-0000-0000FF050000}"/>
    <cellStyle name="Normal 4 4 2 2" xfId="2223" xr:uid="{00000000-0005-0000-0000-000000060000}"/>
    <cellStyle name="Normal 4 4 3" xfId="1064" xr:uid="{00000000-0005-0000-0000-000001060000}"/>
    <cellStyle name="Normal 4 4 3 2" xfId="2224" xr:uid="{00000000-0005-0000-0000-000002060000}"/>
    <cellStyle name="Normal 4 4 4" xfId="1065" xr:uid="{00000000-0005-0000-0000-000003060000}"/>
    <cellStyle name="Normal 4 4 4 2" xfId="2225" xr:uid="{00000000-0005-0000-0000-000004060000}"/>
    <cellStyle name="Normal 4 4 5" xfId="1066" xr:uid="{00000000-0005-0000-0000-000005060000}"/>
    <cellStyle name="Normal 4 4 5 2" xfId="2226" xr:uid="{00000000-0005-0000-0000-000006060000}"/>
    <cellStyle name="Normal 4 4 6" xfId="1067" xr:uid="{00000000-0005-0000-0000-000007060000}"/>
    <cellStyle name="Normal 4 4 6 2" xfId="2227" xr:uid="{00000000-0005-0000-0000-000008060000}"/>
    <cellStyle name="Normal 4 4 7" xfId="1068" xr:uid="{00000000-0005-0000-0000-000009060000}"/>
    <cellStyle name="Normal 4 4 7 2" xfId="2228" xr:uid="{00000000-0005-0000-0000-00000A060000}"/>
    <cellStyle name="Normal 4 4 8" xfId="1069" xr:uid="{00000000-0005-0000-0000-00000B060000}"/>
    <cellStyle name="Normal 4 4 8 2" xfId="2229" xr:uid="{00000000-0005-0000-0000-00000C060000}"/>
    <cellStyle name="Normal 4 4 9" xfId="2222" xr:uid="{00000000-0005-0000-0000-00000D060000}"/>
    <cellStyle name="Normal 4 5" xfId="1070" xr:uid="{00000000-0005-0000-0000-00000E060000}"/>
    <cellStyle name="Normal 4 5 2" xfId="1071" xr:uid="{00000000-0005-0000-0000-00000F060000}"/>
    <cellStyle name="Normal 4 5 2 2" xfId="2231" xr:uid="{00000000-0005-0000-0000-000010060000}"/>
    <cellStyle name="Normal 4 5 3" xfId="1072" xr:uid="{00000000-0005-0000-0000-000011060000}"/>
    <cellStyle name="Normal 4 5 3 2" xfId="2232" xr:uid="{00000000-0005-0000-0000-000012060000}"/>
    <cellStyle name="Normal 4 5 4" xfId="1073" xr:uid="{00000000-0005-0000-0000-000013060000}"/>
    <cellStyle name="Normal 4 5 4 2" xfId="2233" xr:uid="{00000000-0005-0000-0000-000014060000}"/>
    <cellStyle name="Normal 4 5 5" xfId="1074" xr:uid="{00000000-0005-0000-0000-000015060000}"/>
    <cellStyle name="Normal 4 5 5 2" xfId="2234" xr:uid="{00000000-0005-0000-0000-000016060000}"/>
    <cellStyle name="Normal 4 5 6" xfId="1075" xr:uid="{00000000-0005-0000-0000-000017060000}"/>
    <cellStyle name="Normal 4 5 6 2" xfId="2235" xr:uid="{00000000-0005-0000-0000-000018060000}"/>
    <cellStyle name="Normal 4 5 7" xfId="1076" xr:uid="{00000000-0005-0000-0000-000019060000}"/>
    <cellStyle name="Normal 4 5 7 2" xfId="2236" xr:uid="{00000000-0005-0000-0000-00001A060000}"/>
    <cellStyle name="Normal 4 5 8" xfId="1077" xr:uid="{00000000-0005-0000-0000-00001B060000}"/>
    <cellStyle name="Normal 4 5 8 2" xfId="2237" xr:uid="{00000000-0005-0000-0000-00001C060000}"/>
    <cellStyle name="Normal 4 5 9" xfId="2230" xr:uid="{00000000-0005-0000-0000-00001D060000}"/>
    <cellStyle name="Normal 4 6" xfId="1078" xr:uid="{00000000-0005-0000-0000-00001E060000}"/>
    <cellStyle name="Normal 4 6 2" xfId="2238" xr:uid="{00000000-0005-0000-0000-00001F060000}"/>
    <cellStyle name="Normal 4 7" xfId="1079" xr:uid="{00000000-0005-0000-0000-000020060000}"/>
    <cellStyle name="Normal 4 7 2" xfId="2239" xr:uid="{00000000-0005-0000-0000-000021060000}"/>
    <cellStyle name="Normal 4 8" xfId="1080" xr:uid="{00000000-0005-0000-0000-000022060000}"/>
    <cellStyle name="Normal 4 8 2" xfId="2240" xr:uid="{00000000-0005-0000-0000-000023060000}"/>
    <cellStyle name="Normal 4 9" xfId="1081" xr:uid="{00000000-0005-0000-0000-000024060000}"/>
    <cellStyle name="Normal 4 9 2" xfId="2241" xr:uid="{00000000-0005-0000-0000-000025060000}"/>
    <cellStyle name="Normal 5" xfId="1082" xr:uid="{00000000-0005-0000-0000-000026060000}"/>
    <cellStyle name="Normal 5 10" xfId="1083" xr:uid="{00000000-0005-0000-0000-000027060000}"/>
    <cellStyle name="Normal 5 10 2" xfId="2243" xr:uid="{00000000-0005-0000-0000-000028060000}"/>
    <cellStyle name="Normal 5 11" xfId="1084" xr:uid="{00000000-0005-0000-0000-000029060000}"/>
    <cellStyle name="Normal 5 11 2" xfId="2244" xr:uid="{00000000-0005-0000-0000-00002A060000}"/>
    <cellStyle name="Normal 5 12" xfId="1085" xr:uid="{00000000-0005-0000-0000-00002B060000}"/>
    <cellStyle name="Normal 5 12 2" xfId="2245" xr:uid="{00000000-0005-0000-0000-00002C060000}"/>
    <cellStyle name="Normal 5 13" xfId="1086" xr:uid="{00000000-0005-0000-0000-00002D060000}"/>
    <cellStyle name="Normal 5 13 2" xfId="2246" xr:uid="{00000000-0005-0000-0000-00002E060000}"/>
    <cellStyle name="Normal 5 14" xfId="2242" xr:uid="{00000000-0005-0000-0000-00002F060000}"/>
    <cellStyle name="Normal 5 14 2" xfId="3412" xr:uid="{76DEC5B2-4B9A-43E0-9A6D-FB513A5C0241}"/>
    <cellStyle name="Normal 5 15" xfId="3120" xr:uid="{A76EBC7D-79AB-473B-8FCB-22713A28EDBE}"/>
    <cellStyle name="Normal 5 2" xfId="1087" xr:uid="{00000000-0005-0000-0000-000030060000}"/>
    <cellStyle name="Normal 5 2 10" xfId="2247" xr:uid="{00000000-0005-0000-0000-000031060000}"/>
    <cellStyle name="Normal 5 2 10 2" xfId="3413" xr:uid="{720F4D9B-8686-4FFC-B23E-FCA3D19DA64C}"/>
    <cellStyle name="Normal 5 2 11" xfId="3121" xr:uid="{9DB6845F-3695-4340-A4FB-2BDF5188FE69}"/>
    <cellStyle name="Normal 5 2 2" xfId="1088" xr:uid="{00000000-0005-0000-0000-000032060000}"/>
    <cellStyle name="Normal 5 2 2 10" xfId="1089" xr:uid="{00000000-0005-0000-0000-000033060000}"/>
    <cellStyle name="Normal 5 2 2 10 2" xfId="2249" xr:uid="{00000000-0005-0000-0000-000034060000}"/>
    <cellStyle name="Normal 5 2 2 10 2 2" xfId="3414" xr:uid="{B46968F4-783F-4491-961B-BF667BEF0975}"/>
    <cellStyle name="Normal 5 2 2 10 3" xfId="3122" xr:uid="{AF7F93EC-8E24-482E-89AD-776D47F3353F}"/>
    <cellStyle name="Normal 5 2 2 11" xfId="1090" xr:uid="{00000000-0005-0000-0000-000035060000}"/>
    <cellStyle name="Normal 5 2 2 11 2" xfId="2250" xr:uid="{00000000-0005-0000-0000-000036060000}"/>
    <cellStyle name="Normal 5 2 2 11 2 2" xfId="3415" xr:uid="{203D954D-CCF2-48EC-A7F4-46117A6F5DA6}"/>
    <cellStyle name="Normal 5 2 2 11 3" xfId="3123" xr:uid="{15EE8C0D-D134-4548-90DE-27FC3BECDBAE}"/>
    <cellStyle name="Normal 5 2 2 12" xfId="1091" xr:uid="{00000000-0005-0000-0000-000037060000}"/>
    <cellStyle name="Normal 5 2 2 12 2" xfId="2251" xr:uid="{00000000-0005-0000-0000-000038060000}"/>
    <cellStyle name="Normal 5 2 2 12 2 2" xfId="3416" xr:uid="{D73905A9-AC72-42A7-A807-DCB393BBEDB8}"/>
    <cellStyle name="Normal 5 2 2 12 3" xfId="3124" xr:uid="{A0077EFF-9178-41D3-A8B9-1AE5AA7B8C74}"/>
    <cellStyle name="Normal 5 2 2 13" xfId="1092" xr:uid="{00000000-0005-0000-0000-000039060000}"/>
    <cellStyle name="Normal 5 2 2 13 2" xfId="2252" xr:uid="{00000000-0005-0000-0000-00003A060000}"/>
    <cellStyle name="Normal 5 2 2 13 2 2" xfId="3417" xr:uid="{6E1969C7-4C1D-49C2-9690-8BE32B2A1066}"/>
    <cellStyle name="Normal 5 2 2 13 3" xfId="3125" xr:uid="{BB798C35-EC21-4F9E-9F4F-B36D4D9AB404}"/>
    <cellStyle name="Normal 5 2 2 14" xfId="2248" xr:uid="{00000000-0005-0000-0000-00003B060000}"/>
    <cellStyle name="Normal 5 2 2 2" xfId="1093" xr:uid="{00000000-0005-0000-0000-00003C060000}"/>
    <cellStyle name="Normal 5 2 2 2 10" xfId="1094" xr:uid="{00000000-0005-0000-0000-00003D060000}"/>
    <cellStyle name="Normal 5 2 2 2 10 2" xfId="2254" xr:uid="{00000000-0005-0000-0000-00003E060000}"/>
    <cellStyle name="Normal 5 2 2 2 11" xfId="1095" xr:uid="{00000000-0005-0000-0000-00003F060000}"/>
    <cellStyle name="Normal 5 2 2 2 11 2" xfId="2255" xr:uid="{00000000-0005-0000-0000-000040060000}"/>
    <cellStyle name="Normal 5 2 2 2 12" xfId="1096" xr:uid="{00000000-0005-0000-0000-000041060000}"/>
    <cellStyle name="Normal 5 2 2 2 12 2" xfId="2256" xr:uid="{00000000-0005-0000-0000-000042060000}"/>
    <cellStyle name="Normal 5 2 2 2 13" xfId="1097" xr:uid="{00000000-0005-0000-0000-000043060000}"/>
    <cellStyle name="Normal 5 2 2 2 13 2" xfId="2257" xr:uid="{00000000-0005-0000-0000-000044060000}"/>
    <cellStyle name="Normal 5 2 2 2 14" xfId="2253" xr:uid="{00000000-0005-0000-0000-000045060000}"/>
    <cellStyle name="Normal 5 2 2 2 14 2" xfId="3418" xr:uid="{4792C94F-5A78-428A-B31B-097981BEB280}"/>
    <cellStyle name="Normal 5 2 2 2 15" xfId="3126" xr:uid="{A85E5336-2409-4547-8772-EFFBE6F04955}"/>
    <cellStyle name="Normal 5 2 2 2 2" xfId="1098" xr:uid="{00000000-0005-0000-0000-000046060000}"/>
    <cellStyle name="Normal 5 2 2 2 2 2" xfId="2258" xr:uid="{00000000-0005-0000-0000-000047060000}"/>
    <cellStyle name="Normal 5 2 2 2 3" xfId="1099" xr:uid="{00000000-0005-0000-0000-000048060000}"/>
    <cellStyle name="Normal 5 2 2 2 3 2" xfId="2259" xr:uid="{00000000-0005-0000-0000-000049060000}"/>
    <cellStyle name="Normal 5 2 2 2 4" xfId="1100" xr:uid="{00000000-0005-0000-0000-00004A060000}"/>
    <cellStyle name="Normal 5 2 2 2 4 2" xfId="2260" xr:uid="{00000000-0005-0000-0000-00004B060000}"/>
    <cellStyle name="Normal 5 2 2 2 5" xfId="1101" xr:uid="{00000000-0005-0000-0000-00004C060000}"/>
    <cellStyle name="Normal 5 2 2 2 5 2" xfId="2261" xr:uid="{00000000-0005-0000-0000-00004D060000}"/>
    <cellStyle name="Normal 5 2 2 2 6" xfId="1102" xr:uid="{00000000-0005-0000-0000-00004E060000}"/>
    <cellStyle name="Normal 5 2 2 2 6 2" xfId="2262" xr:uid="{00000000-0005-0000-0000-00004F060000}"/>
    <cellStyle name="Normal 5 2 2 2 7" xfId="1103" xr:uid="{00000000-0005-0000-0000-000050060000}"/>
    <cellStyle name="Normal 5 2 2 2 7 2" xfId="2263" xr:uid="{00000000-0005-0000-0000-000051060000}"/>
    <cellStyle name="Normal 5 2 2 2 8" xfId="1104" xr:uid="{00000000-0005-0000-0000-000052060000}"/>
    <cellStyle name="Normal 5 2 2 2 8 2" xfId="2264" xr:uid="{00000000-0005-0000-0000-000053060000}"/>
    <cellStyle name="Normal 5 2 2 2 9" xfId="1105" xr:uid="{00000000-0005-0000-0000-000054060000}"/>
    <cellStyle name="Normal 5 2 2 2 9 2" xfId="2265" xr:uid="{00000000-0005-0000-0000-000055060000}"/>
    <cellStyle name="Normal 5 2 2 3" xfId="1106" xr:uid="{00000000-0005-0000-0000-000056060000}"/>
    <cellStyle name="Normal 5 2 2 3 2" xfId="2266" xr:uid="{00000000-0005-0000-0000-000057060000}"/>
    <cellStyle name="Normal 5 2 2 3 2 2" xfId="3419" xr:uid="{AB60FE6C-C6BB-4DE0-8E5F-80F3E31CC9B4}"/>
    <cellStyle name="Normal 5 2 2 3 3" xfId="3127" xr:uid="{60F6EEE8-727B-4029-A065-C98476E75B2A}"/>
    <cellStyle name="Normal 5 2 2 4" xfId="1107" xr:uid="{00000000-0005-0000-0000-000058060000}"/>
    <cellStyle name="Normal 5 2 2 4 2" xfId="2267" xr:uid="{00000000-0005-0000-0000-000059060000}"/>
    <cellStyle name="Normal 5 2 2 4 2 2" xfId="3420" xr:uid="{24589D7B-CCFF-4433-8831-9A4E0F93AD9B}"/>
    <cellStyle name="Normal 5 2 2 4 3" xfId="3128" xr:uid="{65673799-E828-4D20-AF25-27BBC04C565A}"/>
    <cellStyle name="Normal 5 2 2 5" xfId="1108" xr:uid="{00000000-0005-0000-0000-00005A060000}"/>
    <cellStyle name="Normal 5 2 2 5 2" xfId="2268" xr:uid="{00000000-0005-0000-0000-00005B060000}"/>
    <cellStyle name="Normal 5 2 2 5 2 2" xfId="3421" xr:uid="{EE9B3987-29F7-4DE5-8477-59E01996D966}"/>
    <cellStyle name="Normal 5 2 2 5 3" xfId="3129" xr:uid="{F400D690-7AB3-4701-A8F2-FB8EAB7ABF7C}"/>
    <cellStyle name="Normal 5 2 2 6" xfId="1109" xr:uid="{00000000-0005-0000-0000-00005C060000}"/>
    <cellStyle name="Normal 5 2 2 6 2" xfId="2269" xr:uid="{00000000-0005-0000-0000-00005D060000}"/>
    <cellStyle name="Normal 5 2 2 6 2 2" xfId="3422" xr:uid="{C06802CB-25F2-4C90-9578-32684C8E488C}"/>
    <cellStyle name="Normal 5 2 2 6 3" xfId="3130" xr:uid="{BECBE8EF-0E95-43DC-88DC-F08744B6EAC8}"/>
    <cellStyle name="Normal 5 2 2 7" xfId="1110" xr:uid="{00000000-0005-0000-0000-00005E060000}"/>
    <cellStyle name="Normal 5 2 2 7 2" xfId="2270" xr:uid="{00000000-0005-0000-0000-00005F060000}"/>
    <cellStyle name="Normal 5 2 2 7 2 2" xfId="3423" xr:uid="{C89E2CE9-DCE2-4289-91F7-B141671730A8}"/>
    <cellStyle name="Normal 5 2 2 7 3" xfId="3131" xr:uid="{ACD2B8E6-9F04-4387-BAFB-141D4FE05065}"/>
    <cellStyle name="Normal 5 2 2 8" xfId="1111" xr:uid="{00000000-0005-0000-0000-000060060000}"/>
    <cellStyle name="Normal 5 2 2 8 2" xfId="2271" xr:uid="{00000000-0005-0000-0000-000061060000}"/>
    <cellStyle name="Normal 5 2 2 8 2 2" xfId="3424" xr:uid="{389E5E95-067F-42EA-A285-9E7F5DFCD7A7}"/>
    <cellStyle name="Normal 5 2 2 8 3" xfId="3132" xr:uid="{04AB8C2E-3F8A-4552-9ABD-ECAFB1E132C1}"/>
    <cellStyle name="Normal 5 2 2 9" xfId="1112" xr:uid="{00000000-0005-0000-0000-000062060000}"/>
    <cellStyle name="Normal 5 2 2 9 2" xfId="2272" xr:uid="{00000000-0005-0000-0000-000063060000}"/>
    <cellStyle name="Normal 5 2 2 9 2 2" xfId="3425" xr:uid="{A2588C2D-0864-4C35-AC6B-E26CF2FC903A}"/>
    <cellStyle name="Normal 5 2 2 9 3" xfId="3133" xr:uid="{8B5616EA-06D3-43BC-B99F-EFE7C4A96CBE}"/>
    <cellStyle name="Normal 5 2 3" xfId="1113" xr:uid="{00000000-0005-0000-0000-000064060000}"/>
    <cellStyle name="Normal 5 2 3 2" xfId="2273" xr:uid="{00000000-0005-0000-0000-000065060000}"/>
    <cellStyle name="Normal 5 2 4" xfId="1114" xr:uid="{00000000-0005-0000-0000-000066060000}"/>
    <cellStyle name="Normal 5 2 4 2" xfId="2274" xr:uid="{00000000-0005-0000-0000-000067060000}"/>
    <cellStyle name="Normal 5 2 5" xfId="1115" xr:uid="{00000000-0005-0000-0000-000068060000}"/>
    <cellStyle name="Normal 5 2 5 2" xfId="2275" xr:uid="{00000000-0005-0000-0000-000069060000}"/>
    <cellStyle name="Normal 5 2 6" xfId="1116" xr:uid="{00000000-0005-0000-0000-00006A060000}"/>
    <cellStyle name="Normal 5 2 6 2" xfId="2276" xr:uid="{00000000-0005-0000-0000-00006B060000}"/>
    <cellStyle name="Normal 5 2 7" xfId="1117" xr:uid="{00000000-0005-0000-0000-00006C060000}"/>
    <cellStyle name="Normal 5 2 7 2" xfId="2277" xr:uid="{00000000-0005-0000-0000-00006D060000}"/>
    <cellStyle name="Normal 5 2 8" xfId="1118" xr:uid="{00000000-0005-0000-0000-00006E060000}"/>
    <cellStyle name="Normal 5 2 8 2" xfId="2278" xr:uid="{00000000-0005-0000-0000-00006F060000}"/>
    <cellStyle name="Normal 5 2 9" xfId="1119" xr:uid="{00000000-0005-0000-0000-000070060000}"/>
    <cellStyle name="Normal 5 2 9 2" xfId="2279" xr:uid="{00000000-0005-0000-0000-000071060000}"/>
    <cellStyle name="Normal 5 3" xfId="1120" xr:uid="{00000000-0005-0000-0000-000072060000}"/>
    <cellStyle name="Normal 5 3 2" xfId="1121" xr:uid="{00000000-0005-0000-0000-000073060000}"/>
    <cellStyle name="Normal 5 3 2 2" xfId="2281" xr:uid="{00000000-0005-0000-0000-000074060000}"/>
    <cellStyle name="Normal 5 3 3" xfId="1122" xr:uid="{00000000-0005-0000-0000-000075060000}"/>
    <cellStyle name="Normal 5 3 3 2" xfId="2282" xr:uid="{00000000-0005-0000-0000-000076060000}"/>
    <cellStyle name="Normal 5 3 4" xfId="1123" xr:uid="{00000000-0005-0000-0000-000077060000}"/>
    <cellStyle name="Normal 5 3 4 2" xfId="2283" xr:uid="{00000000-0005-0000-0000-000078060000}"/>
    <cellStyle name="Normal 5 3 5" xfId="1124" xr:uid="{00000000-0005-0000-0000-000079060000}"/>
    <cellStyle name="Normal 5 3 5 2" xfId="2284" xr:uid="{00000000-0005-0000-0000-00007A060000}"/>
    <cellStyle name="Normal 5 3 6" xfId="1125" xr:uid="{00000000-0005-0000-0000-00007B060000}"/>
    <cellStyle name="Normal 5 3 6 2" xfId="2285" xr:uid="{00000000-0005-0000-0000-00007C060000}"/>
    <cellStyle name="Normal 5 3 7" xfId="1126" xr:uid="{00000000-0005-0000-0000-00007D060000}"/>
    <cellStyle name="Normal 5 3 7 2" xfId="2286" xr:uid="{00000000-0005-0000-0000-00007E060000}"/>
    <cellStyle name="Normal 5 3 8" xfId="1127" xr:uid="{00000000-0005-0000-0000-00007F060000}"/>
    <cellStyle name="Normal 5 3 8 2" xfId="2287" xr:uid="{00000000-0005-0000-0000-000080060000}"/>
    <cellStyle name="Normal 5 3 9" xfId="2280" xr:uid="{00000000-0005-0000-0000-000081060000}"/>
    <cellStyle name="Normal 5 4" xfId="1128" xr:uid="{00000000-0005-0000-0000-000082060000}"/>
    <cellStyle name="Normal 5 4 2" xfId="1129" xr:uid="{00000000-0005-0000-0000-000083060000}"/>
    <cellStyle name="Normal 5 4 2 2" xfId="2289" xr:uid="{00000000-0005-0000-0000-000084060000}"/>
    <cellStyle name="Normal 5 4 3" xfId="1130" xr:uid="{00000000-0005-0000-0000-000085060000}"/>
    <cellStyle name="Normal 5 4 3 2" xfId="2290" xr:uid="{00000000-0005-0000-0000-000086060000}"/>
    <cellStyle name="Normal 5 4 4" xfId="1131" xr:uid="{00000000-0005-0000-0000-000087060000}"/>
    <cellStyle name="Normal 5 4 4 2" xfId="2291" xr:uid="{00000000-0005-0000-0000-000088060000}"/>
    <cellStyle name="Normal 5 4 5" xfId="1132" xr:uid="{00000000-0005-0000-0000-000089060000}"/>
    <cellStyle name="Normal 5 4 5 2" xfId="2292" xr:uid="{00000000-0005-0000-0000-00008A060000}"/>
    <cellStyle name="Normal 5 4 6" xfId="1133" xr:uid="{00000000-0005-0000-0000-00008B060000}"/>
    <cellStyle name="Normal 5 4 6 2" xfId="2293" xr:uid="{00000000-0005-0000-0000-00008C060000}"/>
    <cellStyle name="Normal 5 4 7" xfId="1134" xr:uid="{00000000-0005-0000-0000-00008D060000}"/>
    <cellStyle name="Normal 5 4 7 2" xfId="2294" xr:uid="{00000000-0005-0000-0000-00008E060000}"/>
    <cellStyle name="Normal 5 4 8" xfId="1135" xr:uid="{00000000-0005-0000-0000-00008F060000}"/>
    <cellStyle name="Normal 5 4 8 2" xfId="2295" xr:uid="{00000000-0005-0000-0000-000090060000}"/>
    <cellStyle name="Normal 5 4 9" xfId="2288" xr:uid="{00000000-0005-0000-0000-000091060000}"/>
    <cellStyle name="Normal 5 5" xfId="1136" xr:uid="{00000000-0005-0000-0000-000092060000}"/>
    <cellStyle name="Normal 5 5 2" xfId="1137" xr:uid="{00000000-0005-0000-0000-000093060000}"/>
    <cellStyle name="Normal 5 5 2 2" xfId="2297" xr:uid="{00000000-0005-0000-0000-000094060000}"/>
    <cellStyle name="Normal 5 5 3" xfId="1138" xr:uid="{00000000-0005-0000-0000-000095060000}"/>
    <cellStyle name="Normal 5 5 3 2" xfId="2298" xr:uid="{00000000-0005-0000-0000-000096060000}"/>
    <cellStyle name="Normal 5 5 4" xfId="1139" xr:uid="{00000000-0005-0000-0000-000097060000}"/>
    <cellStyle name="Normal 5 5 4 2" xfId="2299" xr:uid="{00000000-0005-0000-0000-000098060000}"/>
    <cellStyle name="Normal 5 5 5" xfId="1140" xr:uid="{00000000-0005-0000-0000-000099060000}"/>
    <cellStyle name="Normal 5 5 5 2" xfId="2300" xr:uid="{00000000-0005-0000-0000-00009A060000}"/>
    <cellStyle name="Normal 5 5 6" xfId="1141" xr:uid="{00000000-0005-0000-0000-00009B060000}"/>
    <cellStyle name="Normal 5 5 6 2" xfId="2301" xr:uid="{00000000-0005-0000-0000-00009C060000}"/>
    <cellStyle name="Normal 5 5 7" xfId="1142" xr:uid="{00000000-0005-0000-0000-00009D060000}"/>
    <cellStyle name="Normal 5 5 7 2" xfId="2302" xr:uid="{00000000-0005-0000-0000-00009E060000}"/>
    <cellStyle name="Normal 5 5 8" xfId="1143" xr:uid="{00000000-0005-0000-0000-00009F060000}"/>
    <cellStyle name="Normal 5 5 8 2" xfId="2303" xr:uid="{00000000-0005-0000-0000-0000A0060000}"/>
    <cellStyle name="Normal 5 5 9" xfId="2296" xr:uid="{00000000-0005-0000-0000-0000A1060000}"/>
    <cellStyle name="Normal 5 6" xfId="1144" xr:uid="{00000000-0005-0000-0000-0000A2060000}"/>
    <cellStyle name="Normal 5 6 2" xfId="2304" xr:uid="{00000000-0005-0000-0000-0000A3060000}"/>
    <cellStyle name="Normal 5 7" xfId="1145" xr:uid="{00000000-0005-0000-0000-0000A4060000}"/>
    <cellStyle name="Normal 5 7 2" xfId="2305" xr:uid="{00000000-0005-0000-0000-0000A5060000}"/>
    <cellStyle name="Normal 5 8" xfId="1146" xr:uid="{00000000-0005-0000-0000-0000A6060000}"/>
    <cellStyle name="Normal 5 8 2" xfId="2306" xr:uid="{00000000-0005-0000-0000-0000A7060000}"/>
    <cellStyle name="Normal 5 9" xfId="1147" xr:uid="{00000000-0005-0000-0000-0000A8060000}"/>
    <cellStyle name="Normal 5 9 2" xfId="2307" xr:uid="{00000000-0005-0000-0000-0000A9060000}"/>
    <cellStyle name="Normal 6" xfId="1148" xr:uid="{00000000-0005-0000-0000-0000AA060000}"/>
    <cellStyle name="Normal 6 10" xfId="1149" xr:uid="{00000000-0005-0000-0000-0000AB060000}"/>
    <cellStyle name="Normal 6 10 2" xfId="2309" xr:uid="{00000000-0005-0000-0000-0000AC060000}"/>
    <cellStyle name="Normal 6 11" xfId="1150" xr:uid="{00000000-0005-0000-0000-0000AD060000}"/>
    <cellStyle name="Normal 6 11 2" xfId="2310" xr:uid="{00000000-0005-0000-0000-0000AE060000}"/>
    <cellStyle name="Normal 6 12" xfId="1151" xr:uid="{00000000-0005-0000-0000-0000AF060000}"/>
    <cellStyle name="Normal 6 12 2" xfId="2311" xr:uid="{00000000-0005-0000-0000-0000B0060000}"/>
    <cellStyle name="Normal 6 13" xfId="1152" xr:uid="{00000000-0005-0000-0000-0000B1060000}"/>
    <cellStyle name="Normal 6 13 2" xfId="2312" xr:uid="{00000000-0005-0000-0000-0000B2060000}"/>
    <cellStyle name="Normal 6 14" xfId="2308" xr:uid="{00000000-0005-0000-0000-0000B3060000}"/>
    <cellStyle name="Normal 6 2" xfId="1153" xr:uid="{00000000-0005-0000-0000-0000B4060000}"/>
    <cellStyle name="Normal 6 2 2" xfId="1154" xr:uid="{00000000-0005-0000-0000-0000B5060000}"/>
    <cellStyle name="Normal 6 2 2 10" xfId="1155" xr:uid="{00000000-0005-0000-0000-0000B6060000}"/>
    <cellStyle name="Normal 6 2 2 10 2" xfId="2315" xr:uid="{00000000-0005-0000-0000-0000B7060000}"/>
    <cellStyle name="Normal 6 2 2 10 2 2" xfId="3426" xr:uid="{58B5A221-69AC-4A7E-9BEB-231890B55265}"/>
    <cellStyle name="Normal 6 2 2 10 3" xfId="3134" xr:uid="{938729E3-B7FA-4F2D-9E19-F0CE2818378E}"/>
    <cellStyle name="Normal 6 2 2 11" xfId="1156" xr:uid="{00000000-0005-0000-0000-0000B8060000}"/>
    <cellStyle name="Normal 6 2 2 11 2" xfId="2316" xr:uid="{00000000-0005-0000-0000-0000B9060000}"/>
    <cellStyle name="Normal 6 2 2 11 2 2" xfId="3427" xr:uid="{75DA75BD-D6DF-49AC-89DF-423A2D1C8A7D}"/>
    <cellStyle name="Normal 6 2 2 11 3" xfId="3135" xr:uid="{63961BFF-7145-4EC0-B9EA-AAF4E1BEC4D7}"/>
    <cellStyle name="Normal 6 2 2 12" xfId="1157" xr:uid="{00000000-0005-0000-0000-0000BA060000}"/>
    <cellStyle name="Normal 6 2 2 12 2" xfId="2317" xr:uid="{00000000-0005-0000-0000-0000BB060000}"/>
    <cellStyle name="Normal 6 2 2 12 2 2" xfId="3428" xr:uid="{9BC0A3B5-ECEB-41F9-BDB0-BD6950ECC93F}"/>
    <cellStyle name="Normal 6 2 2 12 3" xfId="3136" xr:uid="{FAF8B218-4A9A-4F01-A9F2-5E02C8787290}"/>
    <cellStyle name="Normal 6 2 2 13" xfId="1158" xr:uid="{00000000-0005-0000-0000-0000BC060000}"/>
    <cellStyle name="Normal 6 2 2 13 2" xfId="2318" xr:uid="{00000000-0005-0000-0000-0000BD060000}"/>
    <cellStyle name="Normal 6 2 2 13 2 2" xfId="3429" xr:uid="{0825735D-B4D4-408F-8A6E-2A74D76A91CE}"/>
    <cellStyle name="Normal 6 2 2 13 3" xfId="3137" xr:uid="{82309689-9F89-4E9A-B06F-406E114A09CF}"/>
    <cellStyle name="Normal 6 2 2 14" xfId="2314" xr:uid="{00000000-0005-0000-0000-0000BE060000}"/>
    <cellStyle name="Normal 6 2 2 2" xfId="1159" xr:uid="{00000000-0005-0000-0000-0000BF060000}"/>
    <cellStyle name="Normal 6 2 2 2 2" xfId="2319" xr:uid="{00000000-0005-0000-0000-0000C0060000}"/>
    <cellStyle name="Normal 6 2 2 2 2 2" xfId="3430" xr:uid="{21A80A27-DE5F-43B7-9950-C7517A022B0E}"/>
    <cellStyle name="Normal 6 2 2 2 3" xfId="3138" xr:uid="{5D6D7DEA-A5BE-43E2-85B9-56AC39286896}"/>
    <cellStyle name="Normal 6 2 2 3" xfId="1160" xr:uid="{00000000-0005-0000-0000-0000C1060000}"/>
    <cellStyle name="Normal 6 2 2 3 2" xfId="2320" xr:uid="{00000000-0005-0000-0000-0000C2060000}"/>
    <cellStyle name="Normal 6 2 2 3 2 2" xfId="3431" xr:uid="{FA756BFE-4809-45B7-AFFD-DA652950E2DA}"/>
    <cellStyle name="Normal 6 2 2 3 3" xfId="3139" xr:uid="{AB52BEDA-2AF7-4B6F-813B-13C096797D7C}"/>
    <cellStyle name="Normal 6 2 2 4" xfId="1161" xr:uid="{00000000-0005-0000-0000-0000C3060000}"/>
    <cellStyle name="Normal 6 2 2 4 2" xfId="2321" xr:uid="{00000000-0005-0000-0000-0000C4060000}"/>
    <cellStyle name="Normal 6 2 2 4 2 2" xfId="3432" xr:uid="{A85A19B1-C891-4BA1-B923-756BB0D4156F}"/>
    <cellStyle name="Normal 6 2 2 4 3" xfId="3140" xr:uid="{634BA0E1-F390-46A6-A68F-E997E6A69BB3}"/>
    <cellStyle name="Normal 6 2 2 5" xfId="1162" xr:uid="{00000000-0005-0000-0000-0000C5060000}"/>
    <cellStyle name="Normal 6 2 2 5 2" xfId="2322" xr:uid="{00000000-0005-0000-0000-0000C6060000}"/>
    <cellStyle name="Normal 6 2 2 5 2 2" xfId="3433" xr:uid="{92453BC6-8BDB-4DA5-AEB1-7EC6F241521A}"/>
    <cellStyle name="Normal 6 2 2 5 3" xfId="3141" xr:uid="{80407F41-F404-4526-A055-D5CC00B96CCD}"/>
    <cellStyle name="Normal 6 2 2 6" xfId="1163" xr:uid="{00000000-0005-0000-0000-0000C7060000}"/>
    <cellStyle name="Normal 6 2 2 6 2" xfId="2323" xr:uid="{00000000-0005-0000-0000-0000C8060000}"/>
    <cellStyle name="Normal 6 2 2 6 2 2" xfId="3434" xr:uid="{69899B16-23BE-47E4-BF0E-461872A795BD}"/>
    <cellStyle name="Normal 6 2 2 6 3" xfId="3142" xr:uid="{7A608681-AE80-4E81-8C86-B6CC68932C63}"/>
    <cellStyle name="Normal 6 2 2 7" xfId="1164" xr:uid="{00000000-0005-0000-0000-0000C9060000}"/>
    <cellStyle name="Normal 6 2 2 7 2" xfId="2324" xr:uid="{00000000-0005-0000-0000-0000CA060000}"/>
    <cellStyle name="Normal 6 2 2 7 2 2" xfId="3435" xr:uid="{FF3F07B8-58F8-46BB-B4B9-6961FAE4D5B6}"/>
    <cellStyle name="Normal 6 2 2 7 3" xfId="3143" xr:uid="{65EDC5D2-EF80-4BBC-A61C-424DB94F0867}"/>
    <cellStyle name="Normal 6 2 2 8" xfId="1165" xr:uid="{00000000-0005-0000-0000-0000CB060000}"/>
    <cellStyle name="Normal 6 2 2 8 2" xfId="2325" xr:uid="{00000000-0005-0000-0000-0000CC060000}"/>
    <cellStyle name="Normal 6 2 2 8 2 2" xfId="3436" xr:uid="{0CF6121E-42A6-45B3-ABE7-B41C97EAB906}"/>
    <cellStyle name="Normal 6 2 2 8 3" xfId="3144" xr:uid="{19503861-A6C5-483D-8CD8-B8A69B0B6811}"/>
    <cellStyle name="Normal 6 2 2 9" xfId="1166" xr:uid="{00000000-0005-0000-0000-0000CD060000}"/>
    <cellStyle name="Normal 6 2 2 9 2" xfId="2326" xr:uid="{00000000-0005-0000-0000-0000CE060000}"/>
    <cellStyle name="Normal 6 2 2 9 2 2" xfId="3437" xr:uid="{6687D92D-B3A3-4135-942A-F682ACE134E0}"/>
    <cellStyle name="Normal 6 2 2 9 3" xfId="3145" xr:uid="{F7A2607C-2535-4D02-BF48-82B250D0DDE3}"/>
    <cellStyle name="Normal 6 2 3" xfId="1167" xr:uid="{00000000-0005-0000-0000-0000CF060000}"/>
    <cellStyle name="Normal 6 2 3 2" xfId="2327" xr:uid="{00000000-0005-0000-0000-0000D0060000}"/>
    <cellStyle name="Normal 6 2 4" xfId="1168" xr:uid="{00000000-0005-0000-0000-0000D1060000}"/>
    <cellStyle name="Normal 6 2 4 2" xfId="2328" xr:uid="{00000000-0005-0000-0000-0000D2060000}"/>
    <cellStyle name="Normal 6 2 5" xfId="1169" xr:uid="{00000000-0005-0000-0000-0000D3060000}"/>
    <cellStyle name="Normal 6 2 5 2" xfId="2329" xr:uid="{00000000-0005-0000-0000-0000D4060000}"/>
    <cellStyle name="Normal 6 2 6" xfId="1170" xr:uid="{00000000-0005-0000-0000-0000D5060000}"/>
    <cellStyle name="Normal 6 2 6 2" xfId="2330" xr:uid="{00000000-0005-0000-0000-0000D6060000}"/>
    <cellStyle name="Normal 6 2 7" xfId="1171" xr:uid="{00000000-0005-0000-0000-0000D7060000}"/>
    <cellStyle name="Normal 6 2 7 2" xfId="2331" xr:uid="{00000000-0005-0000-0000-0000D8060000}"/>
    <cellStyle name="Normal 6 2 8" xfId="1172" xr:uid="{00000000-0005-0000-0000-0000D9060000}"/>
    <cellStyle name="Normal 6 2 8 2" xfId="2332" xr:uid="{00000000-0005-0000-0000-0000DA060000}"/>
    <cellStyle name="Normal 6 2 9" xfId="2313" xr:uid="{00000000-0005-0000-0000-0000DB060000}"/>
    <cellStyle name="Normal 6 3" xfId="1173" xr:uid="{00000000-0005-0000-0000-0000DC060000}"/>
    <cellStyle name="Normal 6 3 2" xfId="1174" xr:uid="{00000000-0005-0000-0000-0000DD060000}"/>
    <cellStyle name="Normal 6 3 2 2" xfId="2334" xr:uid="{00000000-0005-0000-0000-0000DE060000}"/>
    <cellStyle name="Normal 6 3 3" xfId="1175" xr:uid="{00000000-0005-0000-0000-0000DF060000}"/>
    <cellStyle name="Normal 6 3 3 2" xfId="2335" xr:uid="{00000000-0005-0000-0000-0000E0060000}"/>
    <cellStyle name="Normal 6 3 4" xfId="1176" xr:uid="{00000000-0005-0000-0000-0000E1060000}"/>
    <cellStyle name="Normal 6 3 4 2" xfId="2336" xr:uid="{00000000-0005-0000-0000-0000E2060000}"/>
    <cellStyle name="Normal 6 3 5" xfId="1177" xr:uid="{00000000-0005-0000-0000-0000E3060000}"/>
    <cellStyle name="Normal 6 3 5 2" xfId="2337" xr:uid="{00000000-0005-0000-0000-0000E4060000}"/>
    <cellStyle name="Normal 6 3 6" xfId="1178" xr:uid="{00000000-0005-0000-0000-0000E5060000}"/>
    <cellStyle name="Normal 6 3 6 2" xfId="2338" xr:uid="{00000000-0005-0000-0000-0000E6060000}"/>
    <cellStyle name="Normal 6 3 7" xfId="1179" xr:uid="{00000000-0005-0000-0000-0000E7060000}"/>
    <cellStyle name="Normal 6 3 7 2" xfId="2339" xr:uid="{00000000-0005-0000-0000-0000E8060000}"/>
    <cellStyle name="Normal 6 3 8" xfId="1180" xr:uid="{00000000-0005-0000-0000-0000E9060000}"/>
    <cellStyle name="Normal 6 3 8 2" xfId="2340" xr:uid="{00000000-0005-0000-0000-0000EA060000}"/>
    <cellStyle name="Normal 6 3 9" xfId="2333" xr:uid="{00000000-0005-0000-0000-0000EB060000}"/>
    <cellStyle name="Normal 6 4" xfId="1181" xr:uid="{00000000-0005-0000-0000-0000EC060000}"/>
    <cellStyle name="Normal 6 4 2" xfId="1182" xr:uid="{00000000-0005-0000-0000-0000ED060000}"/>
    <cellStyle name="Normal 6 4 2 2" xfId="2342" xr:uid="{00000000-0005-0000-0000-0000EE060000}"/>
    <cellStyle name="Normal 6 4 3" xfId="1183" xr:uid="{00000000-0005-0000-0000-0000EF060000}"/>
    <cellStyle name="Normal 6 4 3 2" xfId="2343" xr:uid="{00000000-0005-0000-0000-0000F0060000}"/>
    <cellStyle name="Normal 6 4 4" xfId="1184" xr:uid="{00000000-0005-0000-0000-0000F1060000}"/>
    <cellStyle name="Normal 6 4 4 2" xfId="2344" xr:uid="{00000000-0005-0000-0000-0000F2060000}"/>
    <cellStyle name="Normal 6 4 5" xfId="1185" xr:uid="{00000000-0005-0000-0000-0000F3060000}"/>
    <cellStyle name="Normal 6 4 5 2" xfId="2345" xr:uid="{00000000-0005-0000-0000-0000F4060000}"/>
    <cellStyle name="Normal 6 4 6" xfId="1186" xr:uid="{00000000-0005-0000-0000-0000F5060000}"/>
    <cellStyle name="Normal 6 4 6 2" xfId="2346" xr:uid="{00000000-0005-0000-0000-0000F6060000}"/>
    <cellStyle name="Normal 6 4 7" xfId="1187" xr:uid="{00000000-0005-0000-0000-0000F7060000}"/>
    <cellStyle name="Normal 6 4 7 2" xfId="2347" xr:uid="{00000000-0005-0000-0000-0000F8060000}"/>
    <cellStyle name="Normal 6 4 8" xfId="1188" xr:uid="{00000000-0005-0000-0000-0000F9060000}"/>
    <cellStyle name="Normal 6 4 8 2" xfId="2348" xr:uid="{00000000-0005-0000-0000-0000FA060000}"/>
    <cellStyle name="Normal 6 4 9" xfId="2341" xr:uid="{00000000-0005-0000-0000-0000FB060000}"/>
    <cellStyle name="Normal 6 5" xfId="1189" xr:uid="{00000000-0005-0000-0000-0000FC060000}"/>
    <cellStyle name="Normal 6 5 2" xfId="1190" xr:uid="{00000000-0005-0000-0000-0000FD060000}"/>
    <cellStyle name="Normal 6 5 2 2" xfId="2350" xr:uid="{00000000-0005-0000-0000-0000FE060000}"/>
    <cellStyle name="Normal 6 5 3" xfId="1191" xr:uid="{00000000-0005-0000-0000-0000FF060000}"/>
    <cellStyle name="Normal 6 5 3 2" xfId="2351" xr:uid="{00000000-0005-0000-0000-000000070000}"/>
    <cellStyle name="Normal 6 5 4" xfId="1192" xr:uid="{00000000-0005-0000-0000-000001070000}"/>
    <cellStyle name="Normal 6 5 4 2" xfId="2352" xr:uid="{00000000-0005-0000-0000-000002070000}"/>
    <cellStyle name="Normal 6 5 5" xfId="1193" xr:uid="{00000000-0005-0000-0000-000003070000}"/>
    <cellStyle name="Normal 6 5 5 2" xfId="2353" xr:uid="{00000000-0005-0000-0000-000004070000}"/>
    <cellStyle name="Normal 6 5 6" xfId="1194" xr:uid="{00000000-0005-0000-0000-000005070000}"/>
    <cellStyle name="Normal 6 5 6 2" xfId="2354" xr:uid="{00000000-0005-0000-0000-000006070000}"/>
    <cellStyle name="Normal 6 5 7" xfId="1195" xr:uid="{00000000-0005-0000-0000-000007070000}"/>
    <cellStyle name="Normal 6 5 7 2" xfId="2355" xr:uid="{00000000-0005-0000-0000-000008070000}"/>
    <cellStyle name="Normal 6 5 8" xfId="1196" xr:uid="{00000000-0005-0000-0000-000009070000}"/>
    <cellStyle name="Normal 6 5 8 2" xfId="2356" xr:uid="{00000000-0005-0000-0000-00000A070000}"/>
    <cellStyle name="Normal 6 5 9" xfId="2349" xr:uid="{00000000-0005-0000-0000-00000B070000}"/>
    <cellStyle name="Normal 6 6" xfId="1197" xr:uid="{00000000-0005-0000-0000-00000C070000}"/>
    <cellStyle name="Normal 6 6 2" xfId="2357" xr:uid="{00000000-0005-0000-0000-00000D070000}"/>
    <cellStyle name="Normal 6 7" xfId="1198" xr:uid="{00000000-0005-0000-0000-00000E070000}"/>
    <cellStyle name="Normal 6 7 2" xfId="2358" xr:uid="{00000000-0005-0000-0000-00000F070000}"/>
    <cellStyle name="Normal 6 8" xfId="1199" xr:uid="{00000000-0005-0000-0000-000010070000}"/>
    <cellStyle name="Normal 6 8 2" xfId="2359" xr:uid="{00000000-0005-0000-0000-000011070000}"/>
    <cellStyle name="Normal 6 9" xfId="1200" xr:uid="{00000000-0005-0000-0000-000012070000}"/>
    <cellStyle name="Normal 6 9 2" xfId="2360" xr:uid="{00000000-0005-0000-0000-000013070000}"/>
    <cellStyle name="Normal 7" xfId="1201" xr:uid="{00000000-0005-0000-0000-000014070000}"/>
    <cellStyle name="Normal 7 10" xfId="1202" xr:uid="{00000000-0005-0000-0000-000015070000}"/>
    <cellStyle name="Normal 7 10 2" xfId="2362" xr:uid="{00000000-0005-0000-0000-000016070000}"/>
    <cellStyle name="Normal 7 11" xfId="1203" xr:uid="{00000000-0005-0000-0000-000017070000}"/>
    <cellStyle name="Normal 7 11 2" xfId="2363" xr:uid="{00000000-0005-0000-0000-000018070000}"/>
    <cellStyle name="Normal 7 12" xfId="1204" xr:uid="{00000000-0005-0000-0000-000019070000}"/>
    <cellStyle name="Normal 7 12 2" xfId="2364" xr:uid="{00000000-0005-0000-0000-00001A070000}"/>
    <cellStyle name="Normal 7 13" xfId="2361" xr:uid="{00000000-0005-0000-0000-00001B070000}"/>
    <cellStyle name="Normal 7 2" xfId="1205" xr:uid="{00000000-0005-0000-0000-00001C070000}"/>
    <cellStyle name="Normal 7 2 2" xfId="1206" xr:uid="{00000000-0005-0000-0000-00001D070000}"/>
    <cellStyle name="Normal 7 2 2 2" xfId="2366" xr:uid="{00000000-0005-0000-0000-00001E070000}"/>
    <cellStyle name="Normal 7 2 3" xfId="1207" xr:uid="{00000000-0005-0000-0000-00001F070000}"/>
    <cellStyle name="Normal 7 2 3 2" xfId="2367" xr:uid="{00000000-0005-0000-0000-000020070000}"/>
    <cellStyle name="Normal 7 2 4" xfId="1208" xr:uid="{00000000-0005-0000-0000-000021070000}"/>
    <cellStyle name="Normal 7 2 4 2" xfId="2368" xr:uid="{00000000-0005-0000-0000-000022070000}"/>
    <cellStyle name="Normal 7 2 5" xfId="1209" xr:uid="{00000000-0005-0000-0000-000023070000}"/>
    <cellStyle name="Normal 7 2 5 2" xfId="2369" xr:uid="{00000000-0005-0000-0000-000024070000}"/>
    <cellStyle name="Normal 7 2 6" xfId="1210" xr:uid="{00000000-0005-0000-0000-000025070000}"/>
    <cellStyle name="Normal 7 2 6 2" xfId="2370" xr:uid="{00000000-0005-0000-0000-000026070000}"/>
    <cellStyle name="Normal 7 2 7" xfId="1211" xr:uid="{00000000-0005-0000-0000-000027070000}"/>
    <cellStyle name="Normal 7 2 7 2" xfId="2371" xr:uid="{00000000-0005-0000-0000-000028070000}"/>
    <cellStyle name="Normal 7 2 8" xfId="1212" xr:uid="{00000000-0005-0000-0000-000029070000}"/>
    <cellStyle name="Normal 7 2 8 2" xfId="2372" xr:uid="{00000000-0005-0000-0000-00002A070000}"/>
    <cellStyle name="Normal 7 2 9" xfId="2365" xr:uid="{00000000-0005-0000-0000-00002B070000}"/>
    <cellStyle name="Normal 7 3" xfId="1213" xr:uid="{00000000-0005-0000-0000-00002C070000}"/>
    <cellStyle name="Normal 7 3 2" xfId="1214" xr:uid="{00000000-0005-0000-0000-00002D070000}"/>
    <cellStyle name="Normal 7 3 2 2" xfId="2374" xr:uid="{00000000-0005-0000-0000-00002E070000}"/>
    <cellStyle name="Normal 7 3 3" xfId="1215" xr:uid="{00000000-0005-0000-0000-00002F070000}"/>
    <cellStyle name="Normal 7 3 3 2" xfId="2375" xr:uid="{00000000-0005-0000-0000-000030070000}"/>
    <cellStyle name="Normal 7 3 4" xfId="1216" xr:uid="{00000000-0005-0000-0000-000031070000}"/>
    <cellStyle name="Normal 7 3 4 2" xfId="2376" xr:uid="{00000000-0005-0000-0000-000032070000}"/>
    <cellStyle name="Normal 7 3 5" xfId="1217" xr:uid="{00000000-0005-0000-0000-000033070000}"/>
    <cellStyle name="Normal 7 3 5 2" xfId="2377" xr:uid="{00000000-0005-0000-0000-000034070000}"/>
    <cellStyle name="Normal 7 3 6" xfId="1218" xr:uid="{00000000-0005-0000-0000-000035070000}"/>
    <cellStyle name="Normal 7 3 6 2" xfId="2378" xr:uid="{00000000-0005-0000-0000-000036070000}"/>
    <cellStyle name="Normal 7 3 7" xfId="1219" xr:uid="{00000000-0005-0000-0000-000037070000}"/>
    <cellStyle name="Normal 7 3 7 2" xfId="2379" xr:uid="{00000000-0005-0000-0000-000038070000}"/>
    <cellStyle name="Normal 7 3 8" xfId="1220" xr:uid="{00000000-0005-0000-0000-000039070000}"/>
    <cellStyle name="Normal 7 3 8 2" xfId="2380" xr:uid="{00000000-0005-0000-0000-00003A070000}"/>
    <cellStyle name="Normal 7 3 9" xfId="2373" xr:uid="{00000000-0005-0000-0000-00003B070000}"/>
    <cellStyle name="Normal 7 4" xfId="1221" xr:uid="{00000000-0005-0000-0000-00003C070000}"/>
    <cellStyle name="Normal 7 4 2" xfId="1222" xr:uid="{00000000-0005-0000-0000-00003D070000}"/>
    <cellStyle name="Normal 7 4 2 2" xfId="2382" xr:uid="{00000000-0005-0000-0000-00003E070000}"/>
    <cellStyle name="Normal 7 4 3" xfId="1223" xr:uid="{00000000-0005-0000-0000-00003F070000}"/>
    <cellStyle name="Normal 7 4 3 2" xfId="2383" xr:uid="{00000000-0005-0000-0000-000040070000}"/>
    <cellStyle name="Normal 7 4 4" xfId="1224" xr:uid="{00000000-0005-0000-0000-000041070000}"/>
    <cellStyle name="Normal 7 4 4 2" xfId="2384" xr:uid="{00000000-0005-0000-0000-000042070000}"/>
    <cellStyle name="Normal 7 4 5" xfId="1225" xr:uid="{00000000-0005-0000-0000-000043070000}"/>
    <cellStyle name="Normal 7 4 5 2" xfId="2385" xr:uid="{00000000-0005-0000-0000-000044070000}"/>
    <cellStyle name="Normal 7 4 6" xfId="1226" xr:uid="{00000000-0005-0000-0000-000045070000}"/>
    <cellStyle name="Normal 7 4 6 2" xfId="2386" xr:uid="{00000000-0005-0000-0000-000046070000}"/>
    <cellStyle name="Normal 7 4 7" xfId="1227" xr:uid="{00000000-0005-0000-0000-000047070000}"/>
    <cellStyle name="Normal 7 4 7 2" xfId="2387" xr:uid="{00000000-0005-0000-0000-000048070000}"/>
    <cellStyle name="Normal 7 4 8" xfId="1228" xr:uid="{00000000-0005-0000-0000-000049070000}"/>
    <cellStyle name="Normal 7 4 8 2" xfId="2388" xr:uid="{00000000-0005-0000-0000-00004A070000}"/>
    <cellStyle name="Normal 7 4 9" xfId="2381" xr:uid="{00000000-0005-0000-0000-00004B070000}"/>
    <cellStyle name="Normal 7 5" xfId="1229" xr:uid="{00000000-0005-0000-0000-00004C070000}"/>
    <cellStyle name="Normal 7 5 2" xfId="1230" xr:uid="{00000000-0005-0000-0000-00004D070000}"/>
    <cellStyle name="Normal 7 5 2 2" xfId="2390" xr:uid="{00000000-0005-0000-0000-00004E070000}"/>
    <cellStyle name="Normal 7 5 3" xfId="1231" xr:uid="{00000000-0005-0000-0000-00004F070000}"/>
    <cellStyle name="Normal 7 5 3 2" xfId="2391" xr:uid="{00000000-0005-0000-0000-000050070000}"/>
    <cellStyle name="Normal 7 5 4" xfId="1232" xr:uid="{00000000-0005-0000-0000-000051070000}"/>
    <cellStyle name="Normal 7 5 4 2" xfId="2392" xr:uid="{00000000-0005-0000-0000-000052070000}"/>
    <cellStyle name="Normal 7 5 5" xfId="1233" xr:uid="{00000000-0005-0000-0000-000053070000}"/>
    <cellStyle name="Normal 7 5 5 2" xfId="2393" xr:uid="{00000000-0005-0000-0000-000054070000}"/>
    <cellStyle name="Normal 7 5 6" xfId="1234" xr:uid="{00000000-0005-0000-0000-000055070000}"/>
    <cellStyle name="Normal 7 5 6 2" xfId="2394" xr:uid="{00000000-0005-0000-0000-000056070000}"/>
    <cellStyle name="Normal 7 5 7" xfId="1235" xr:uid="{00000000-0005-0000-0000-000057070000}"/>
    <cellStyle name="Normal 7 5 7 2" xfId="2395" xr:uid="{00000000-0005-0000-0000-000058070000}"/>
    <cellStyle name="Normal 7 5 8" xfId="1236" xr:uid="{00000000-0005-0000-0000-000059070000}"/>
    <cellStyle name="Normal 7 5 8 2" xfId="2396" xr:uid="{00000000-0005-0000-0000-00005A070000}"/>
    <cellStyle name="Normal 7 5 9" xfId="2389" xr:uid="{00000000-0005-0000-0000-00005B070000}"/>
    <cellStyle name="Normal 7 6" xfId="1237" xr:uid="{00000000-0005-0000-0000-00005C070000}"/>
    <cellStyle name="Normal 7 6 2" xfId="2397" xr:uid="{00000000-0005-0000-0000-00005D070000}"/>
    <cellStyle name="Normal 7 7" xfId="1238" xr:uid="{00000000-0005-0000-0000-00005E070000}"/>
    <cellStyle name="Normal 7 7 2" xfId="2398" xr:uid="{00000000-0005-0000-0000-00005F070000}"/>
    <cellStyle name="Normal 7 8" xfId="1239" xr:uid="{00000000-0005-0000-0000-000060070000}"/>
    <cellStyle name="Normal 7 8 2" xfId="2399" xr:uid="{00000000-0005-0000-0000-000061070000}"/>
    <cellStyle name="Normal 7 9" xfId="1240" xr:uid="{00000000-0005-0000-0000-000062070000}"/>
    <cellStyle name="Normal 7 9 2" xfId="2400" xr:uid="{00000000-0005-0000-0000-000063070000}"/>
    <cellStyle name="Normal 8" xfId="1241" xr:uid="{00000000-0005-0000-0000-000064070000}"/>
    <cellStyle name="Normal 8 10" xfId="1242" xr:uid="{00000000-0005-0000-0000-000065070000}"/>
    <cellStyle name="Normal 8 10 2" xfId="2402" xr:uid="{00000000-0005-0000-0000-000066070000}"/>
    <cellStyle name="Normal 8 11" xfId="1243" xr:uid="{00000000-0005-0000-0000-000067070000}"/>
    <cellStyle name="Normal 8 11 2" xfId="2403" xr:uid="{00000000-0005-0000-0000-000068070000}"/>
    <cellStyle name="Normal 8 12" xfId="1244" xr:uid="{00000000-0005-0000-0000-000069070000}"/>
    <cellStyle name="Normal 8 12 2" xfId="2404" xr:uid="{00000000-0005-0000-0000-00006A070000}"/>
    <cellStyle name="Normal 8 13" xfId="2401" xr:uid="{00000000-0005-0000-0000-00006B070000}"/>
    <cellStyle name="Normal 8 2" xfId="1245" xr:uid="{00000000-0005-0000-0000-00006C070000}"/>
    <cellStyle name="Normal 8 2 2" xfId="1246" xr:uid="{00000000-0005-0000-0000-00006D070000}"/>
    <cellStyle name="Normal 8 2 2 2" xfId="2406" xr:uid="{00000000-0005-0000-0000-00006E070000}"/>
    <cellStyle name="Normal 8 2 3" xfId="1247" xr:uid="{00000000-0005-0000-0000-00006F070000}"/>
    <cellStyle name="Normal 8 2 3 2" xfId="2407" xr:uid="{00000000-0005-0000-0000-000070070000}"/>
    <cellStyle name="Normal 8 2 4" xfId="1248" xr:uid="{00000000-0005-0000-0000-000071070000}"/>
    <cellStyle name="Normal 8 2 4 2" xfId="2408" xr:uid="{00000000-0005-0000-0000-000072070000}"/>
    <cellStyle name="Normal 8 2 5" xfId="1249" xr:uid="{00000000-0005-0000-0000-000073070000}"/>
    <cellStyle name="Normal 8 2 5 2" xfId="2409" xr:uid="{00000000-0005-0000-0000-000074070000}"/>
    <cellStyle name="Normal 8 2 6" xfId="1250" xr:uid="{00000000-0005-0000-0000-000075070000}"/>
    <cellStyle name="Normal 8 2 6 2" xfId="2410" xr:uid="{00000000-0005-0000-0000-000076070000}"/>
    <cellStyle name="Normal 8 2 7" xfId="1251" xr:uid="{00000000-0005-0000-0000-000077070000}"/>
    <cellStyle name="Normal 8 2 7 2" xfId="2411" xr:uid="{00000000-0005-0000-0000-000078070000}"/>
    <cellStyle name="Normal 8 2 8" xfId="1252" xr:uid="{00000000-0005-0000-0000-000079070000}"/>
    <cellStyle name="Normal 8 2 8 2" xfId="2412" xr:uid="{00000000-0005-0000-0000-00007A070000}"/>
    <cellStyle name="Normal 8 2 9" xfId="2405" xr:uid="{00000000-0005-0000-0000-00007B070000}"/>
    <cellStyle name="Normal 8 3" xfId="1253" xr:uid="{00000000-0005-0000-0000-00007C070000}"/>
    <cellStyle name="Normal 8 3 2" xfId="1254" xr:uid="{00000000-0005-0000-0000-00007D070000}"/>
    <cellStyle name="Normal 8 3 2 2" xfId="2414" xr:uid="{00000000-0005-0000-0000-00007E070000}"/>
    <cellStyle name="Normal 8 3 3" xfId="1255" xr:uid="{00000000-0005-0000-0000-00007F070000}"/>
    <cellStyle name="Normal 8 3 3 2" xfId="2415" xr:uid="{00000000-0005-0000-0000-000080070000}"/>
    <cellStyle name="Normal 8 3 4" xfId="1256" xr:uid="{00000000-0005-0000-0000-000081070000}"/>
    <cellStyle name="Normal 8 3 4 2" xfId="2416" xr:uid="{00000000-0005-0000-0000-000082070000}"/>
    <cellStyle name="Normal 8 3 5" xfId="1257" xr:uid="{00000000-0005-0000-0000-000083070000}"/>
    <cellStyle name="Normal 8 3 5 2" xfId="2417" xr:uid="{00000000-0005-0000-0000-000084070000}"/>
    <cellStyle name="Normal 8 3 6" xfId="1258" xr:uid="{00000000-0005-0000-0000-000085070000}"/>
    <cellStyle name="Normal 8 3 6 2" xfId="2418" xr:uid="{00000000-0005-0000-0000-000086070000}"/>
    <cellStyle name="Normal 8 3 7" xfId="1259" xr:uid="{00000000-0005-0000-0000-000087070000}"/>
    <cellStyle name="Normal 8 3 7 2" xfId="2419" xr:uid="{00000000-0005-0000-0000-000088070000}"/>
    <cellStyle name="Normal 8 3 8" xfId="1260" xr:uid="{00000000-0005-0000-0000-000089070000}"/>
    <cellStyle name="Normal 8 3 8 2" xfId="2420" xr:uid="{00000000-0005-0000-0000-00008A070000}"/>
    <cellStyle name="Normal 8 3 9" xfId="2413" xr:uid="{00000000-0005-0000-0000-00008B070000}"/>
    <cellStyle name="Normal 8 4" xfId="1261" xr:uid="{00000000-0005-0000-0000-00008C070000}"/>
    <cellStyle name="Normal 8 4 2" xfId="1262" xr:uid="{00000000-0005-0000-0000-00008D070000}"/>
    <cellStyle name="Normal 8 4 2 2" xfId="2422" xr:uid="{00000000-0005-0000-0000-00008E070000}"/>
    <cellStyle name="Normal 8 4 3" xfId="1263" xr:uid="{00000000-0005-0000-0000-00008F070000}"/>
    <cellStyle name="Normal 8 4 3 2" xfId="2423" xr:uid="{00000000-0005-0000-0000-000090070000}"/>
    <cellStyle name="Normal 8 4 4" xfId="1264" xr:uid="{00000000-0005-0000-0000-000091070000}"/>
    <cellStyle name="Normal 8 4 4 2" xfId="2424" xr:uid="{00000000-0005-0000-0000-000092070000}"/>
    <cellStyle name="Normal 8 4 5" xfId="1265" xr:uid="{00000000-0005-0000-0000-000093070000}"/>
    <cellStyle name="Normal 8 4 5 2" xfId="2425" xr:uid="{00000000-0005-0000-0000-000094070000}"/>
    <cellStyle name="Normal 8 4 6" xfId="1266" xr:uid="{00000000-0005-0000-0000-000095070000}"/>
    <cellStyle name="Normal 8 4 6 2" xfId="2426" xr:uid="{00000000-0005-0000-0000-000096070000}"/>
    <cellStyle name="Normal 8 4 7" xfId="1267" xr:uid="{00000000-0005-0000-0000-000097070000}"/>
    <cellStyle name="Normal 8 4 7 2" xfId="2427" xr:uid="{00000000-0005-0000-0000-000098070000}"/>
    <cellStyle name="Normal 8 4 8" xfId="1268" xr:uid="{00000000-0005-0000-0000-000099070000}"/>
    <cellStyle name="Normal 8 4 8 2" xfId="2428" xr:uid="{00000000-0005-0000-0000-00009A070000}"/>
    <cellStyle name="Normal 8 4 9" xfId="2421" xr:uid="{00000000-0005-0000-0000-00009B070000}"/>
    <cellStyle name="Normal 8 5" xfId="1269" xr:uid="{00000000-0005-0000-0000-00009C070000}"/>
    <cellStyle name="Normal 8 5 2" xfId="1270" xr:uid="{00000000-0005-0000-0000-00009D070000}"/>
    <cellStyle name="Normal 8 5 2 2" xfId="2430" xr:uid="{00000000-0005-0000-0000-00009E070000}"/>
    <cellStyle name="Normal 8 5 3" xfId="1271" xr:uid="{00000000-0005-0000-0000-00009F070000}"/>
    <cellStyle name="Normal 8 5 3 2" xfId="2431" xr:uid="{00000000-0005-0000-0000-0000A0070000}"/>
    <cellStyle name="Normal 8 5 4" xfId="1272" xr:uid="{00000000-0005-0000-0000-0000A1070000}"/>
    <cellStyle name="Normal 8 5 4 2" xfId="2432" xr:uid="{00000000-0005-0000-0000-0000A2070000}"/>
    <cellStyle name="Normal 8 5 5" xfId="1273" xr:uid="{00000000-0005-0000-0000-0000A3070000}"/>
    <cellStyle name="Normal 8 5 5 2" xfId="2433" xr:uid="{00000000-0005-0000-0000-0000A4070000}"/>
    <cellStyle name="Normal 8 5 6" xfId="1274" xr:uid="{00000000-0005-0000-0000-0000A5070000}"/>
    <cellStyle name="Normal 8 5 6 2" xfId="2434" xr:uid="{00000000-0005-0000-0000-0000A6070000}"/>
    <cellStyle name="Normal 8 5 7" xfId="1275" xr:uid="{00000000-0005-0000-0000-0000A7070000}"/>
    <cellStyle name="Normal 8 5 7 2" xfId="2435" xr:uid="{00000000-0005-0000-0000-0000A8070000}"/>
    <cellStyle name="Normal 8 5 8" xfId="1276" xr:uid="{00000000-0005-0000-0000-0000A9070000}"/>
    <cellStyle name="Normal 8 5 8 2" xfId="2436" xr:uid="{00000000-0005-0000-0000-0000AA070000}"/>
    <cellStyle name="Normal 8 5 9" xfId="2429" xr:uid="{00000000-0005-0000-0000-0000AB070000}"/>
    <cellStyle name="Normal 8 6" xfId="1277" xr:uid="{00000000-0005-0000-0000-0000AC070000}"/>
    <cellStyle name="Normal 8 6 2" xfId="2437" xr:uid="{00000000-0005-0000-0000-0000AD070000}"/>
    <cellStyle name="Normal 8 7" xfId="1278" xr:uid="{00000000-0005-0000-0000-0000AE070000}"/>
    <cellStyle name="Normal 8 7 2" xfId="2438" xr:uid="{00000000-0005-0000-0000-0000AF070000}"/>
    <cellStyle name="Normal 8 8" xfId="1279" xr:uid="{00000000-0005-0000-0000-0000B0070000}"/>
    <cellStyle name="Normal 8 8 2" xfId="2439" xr:uid="{00000000-0005-0000-0000-0000B1070000}"/>
    <cellStyle name="Normal 8 9" xfId="1280" xr:uid="{00000000-0005-0000-0000-0000B2070000}"/>
    <cellStyle name="Normal 8 9 2" xfId="2440" xr:uid="{00000000-0005-0000-0000-0000B3070000}"/>
    <cellStyle name="Normal 9" xfId="1281" xr:uid="{00000000-0005-0000-0000-0000B4070000}"/>
    <cellStyle name="Normal 9 2" xfId="1282" xr:uid="{00000000-0005-0000-0000-0000B5070000}"/>
    <cellStyle name="Normal 9 2 2" xfId="2442" xr:uid="{00000000-0005-0000-0000-0000B6070000}"/>
    <cellStyle name="Normal 9 3" xfId="1283" xr:uid="{00000000-0005-0000-0000-0000B7070000}"/>
    <cellStyle name="Normal 9 3 2" xfId="2443" xr:uid="{00000000-0005-0000-0000-0000B8070000}"/>
    <cellStyle name="Normal 9 4" xfId="1284" xr:uid="{00000000-0005-0000-0000-0000B9070000}"/>
    <cellStyle name="Normal 9 4 2" xfId="2444" xr:uid="{00000000-0005-0000-0000-0000BA070000}"/>
    <cellStyle name="Normal 9 5" xfId="1285" xr:uid="{00000000-0005-0000-0000-0000BB070000}"/>
    <cellStyle name="Normal 9 5 2" xfId="2445" xr:uid="{00000000-0005-0000-0000-0000BC070000}"/>
    <cellStyle name="Normal 9 6" xfId="1286" xr:uid="{00000000-0005-0000-0000-0000BD070000}"/>
    <cellStyle name="Normal 9 6 2" xfId="2446" xr:uid="{00000000-0005-0000-0000-0000BE070000}"/>
    <cellStyle name="Normal 9 7" xfId="1287" xr:uid="{00000000-0005-0000-0000-0000BF070000}"/>
    <cellStyle name="Normal 9 7 2" xfId="2447" xr:uid="{00000000-0005-0000-0000-0000C0070000}"/>
    <cellStyle name="Normal 9 8" xfId="1288" xr:uid="{00000000-0005-0000-0000-0000C1070000}"/>
    <cellStyle name="Normal 9 8 2" xfId="2448" xr:uid="{00000000-0005-0000-0000-0000C2070000}"/>
    <cellStyle name="Normal 9 9" xfId="2441" xr:uid="{00000000-0005-0000-0000-0000C3070000}"/>
    <cellStyle name="Normal GHG Numbers (0.00)" xfId="1289" xr:uid="{00000000-0005-0000-0000-0000C4070000}"/>
    <cellStyle name="Normal GHG Textfiels Bold" xfId="1290" xr:uid="{00000000-0005-0000-0000-0000C5070000}"/>
    <cellStyle name="Normal GHG-Shade" xfId="1291" xr:uid="{00000000-0005-0000-0000-0000C6070000}"/>
    <cellStyle name="Normal GHG-Shade 2" xfId="1292" xr:uid="{00000000-0005-0000-0000-0000C7070000}"/>
    <cellStyle name="Normal GHG-Shade 2 2" xfId="2450" xr:uid="{00000000-0005-0000-0000-0000C8070000}"/>
    <cellStyle name="Normal GHG-Shade 3" xfId="2449" xr:uid="{00000000-0005-0000-0000-0000C9070000}"/>
    <cellStyle name="Normale_B2020" xfId="1293" xr:uid="{00000000-0005-0000-0000-0000CA070000}"/>
    <cellStyle name="Note 2" xfId="1294" xr:uid="{00000000-0005-0000-0000-0000CB070000}"/>
    <cellStyle name="Note 2 10" xfId="1295" xr:uid="{00000000-0005-0000-0000-0000CC070000}"/>
    <cellStyle name="Note 2 10 2" xfId="2452" xr:uid="{00000000-0005-0000-0000-0000CD070000}"/>
    <cellStyle name="Note 2 11" xfId="1296" xr:uid="{00000000-0005-0000-0000-0000CE070000}"/>
    <cellStyle name="Note 2 11 2" xfId="2453" xr:uid="{00000000-0005-0000-0000-0000CF070000}"/>
    <cellStyle name="Note 2 12" xfId="1297" xr:uid="{00000000-0005-0000-0000-0000D0070000}"/>
    <cellStyle name="Note 2 12 2" xfId="2454" xr:uid="{00000000-0005-0000-0000-0000D1070000}"/>
    <cellStyle name="Note 2 13" xfId="1298" xr:uid="{00000000-0005-0000-0000-0000D2070000}"/>
    <cellStyle name="Note 2 13 2" xfId="2455" xr:uid="{00000000-0005-0000-0000-0000D3070000}"/>
    <cellStyle name="Note 2 14" xfId="1299" xr:uid="{00000000-0005-0000-0000-0000D4070000}"/>
    <cellStyle name="Note 2 14 2" xfId="2456" xr:uid="{00000000-0005-0000-0000-0000D5070000}"/>
    <cellStyle name="Note 2 15" xfId="1300" xr:uid="{00000000-0005-0000-0000-0000D6070000}"/>
    <cellStyle name="Note 2 15 2" xfId="2457" xr:uid="{00000000-0005-0000-0000-0000D7070000}"/>
    <cellStyle name="Note 2 16" xfId="2451" xr:uid="{00000000-0005-0000-0000-0000D8070000}"/>
    <cellStyle name="Note 2 2" xfId="1301" xr:uid="{00000000-0005-0000-0000-0000D9070000}"/>
    <cellStyle name="Note 2 2 2" xfId="1302" xr:uid="{00000000-0005-0000-0000-0000DA070000}"/>
    <cellStyle name="Note 2 2 2 2" xfId="2458" xr:uid="{00000000-0005-0000-0000-0000DB070000}"/>
    <cellStyle name="Note 2 3" xfId="1303" xr:uid="{00000000-0005-0000-0000-0000DC070000}"/>
    <cellStyle name="Note 2 3 2" xfId="2459" xr:uid="{00000000-0005-0000-0000-0000DD070000}"/>
    <cellStyle name="Note 2 4" xfId="1304" xr:uid="{00000000-0005-0000-0000-0000DE070000}"/>
    <cellStyle name="Note 2 4 2" xfId="2460" xr:uid="{00000000-0005-0000-0000-0000DF070000}"/>
    <cellStyle name="Note 2 5" xfId="1305" xr:uid="{00000000-0005-0000-0000-0000E0070000}"/>
    <cellStyle name="Note 2 5 2" xfId="2461" xr:uid="{00000000-0005-0000-0000-0000E1070000}"/>
    <cellStyle name="Note 2 6" xfId="1306" xr:uid="{00000000-0005-0000-0000-0000E2070000}"/>
    <cellStyle name="Note 2 6 2" xfId="2462" xr:uid="{00000000-0005-0000-0000-0000E3070000}"/>
    <cellStyle name="Note 2 7" xfId="1307" xr:uid="{00000000-0005-0000-0000-0000E4070000}"/>
    <cellStyle name="Note 2 7 2" xfId="2463" xr:uid="{00000000-0005-0000-0000-0000E5070000}"/>
    <cellStyle name="Note 2 8" xfId="1308" xr:uid="{00000000-0005-0000-0000-0000E6070000}"/>
    <cellStyle name="Note 2 8 2" xfId="2464" xr:uid="{00000000-0005-0000-0000-0000E7070000}"/>
    <cellStyle name="Note 2 9" xfId="1309" xr:uid="{00000000-0005-0000-0000-0000E8070000}"/>
    <cellStyle name="Note 2 9 2" xfId="2465" xr:uid="{00000000-0005-0000-0000-0000E9070000}"/>
    <cellStyle name="Note 3" xfId="1310" xr:uid="{00000000-0005-0000-0000-0000EA070000}"/>
    <cellStyle name="Note 3 2" xfId="1311" xr:uid="{00000000-0005-0000-0000-0000EB070000}"/>
    <cellStyle name="Note 3 2 2" xfId="2466" xr:uid="{00000000-0005-0000-0000-0000EC070000}"/>
    <cellStyle name="Note 4" xfId="1312" xr:uid="{00000000-0005-0000-0000-0000ED070000}"/>
    <cellStyle name="Note 4 2" xfId="2467" xr:uid="{00000000-0005-0000-0000-0000EE070000}"/>
    <cellStyle name="Note 5" xfId="1313" xr:uid="{00000000-0005-0000-0000-0000EF070000}"/>
    <cellStyle name="Note 5 2" xfId="2468" xr:uid="{00000000-0005-0000-0000-0000F0070000}"/>
    <cellStyle name="Note 6" xfId="1314" xr:uid="{00000000-0005-0000-0000-0000F1070000}"/>
    <cellStyle name="Note 6 2" xfId="2469" xr:uid="{00000000-0005-0000-0000-0000F2070000}"/>
    <cellStyle name="Note 7" xfId="1315" xr:uid="{00000000-0005-0000-0000-0000F3070000}"/>
    <cellStyle name="Note 7 2" xfId="2470" xr:uid="{00000000-0005-0000-0000-0000F4070000}"/>
    <cellStyle name="Note 8" xfId="1316" xr:uid="{00000000-0005-0000-0000-0000F5070000}"/>
    <cellStyle name="Note 8 2" xfId="2471" xr:uid="{00000000-0005-0000-0000-0000F6070000}"/>
    <cellStyle name="num_note" xfId="1317" xr:uid="{00000000-0005-0000-0000-0000F7070000}"/>
    <cellStyle name="Nuovo" xfId="1318" xr:uid="{00000000-0005-0000-0000-0000F8070000}"/>
    <cellStyle name="Nuovo 2" xfId="2472" xr:uid="{00000000-0005-0000-0000-0000F9070000}"/>
    <cellStyle name="Output 2" xfId="1319" xr:uid="{00000000-0005-0000-0000-0000FA070000}"/>
    <cellStyle name="Output 2 10" xfId="1320" xr:uid="{00000000-0005-0000-0000-0000FB070000}"/>
    <cellStyle name="Output 2 2" xfId="1321" xr:uid="{00000000-0005-0000-0000-0000FC070000}"/>
    <cellStyle name="Output 2 3" xfId="1322" xr:uid="{00000000-0005-0000-0000-0000FD070000}"/>
    <cellStyle name="Output 2 4" xfId="1323" xr:uid="{00000000-0005-0000-0000-0000FE070000}"/>
    <cellStyle name="Output 2 5" xfId="1324" xr:uid="{00000000-0005-0000-0000-0000FF070000}"/>
    <cellStyle name="Output 2 6" xfId="1325" xr:uid="{00000000-0005-0000-0000-000000080000}"/>
    <cellStyle name="Output 2 7" xfId="1326" xr:uid="{00000000-0005-0000-0000-000001080000}"/>
    <cellStyle name="Output 2 8" xfId="1327" xr:uid="{00000000-0005-0000-0000-000002080000}"/>
    <cellStyle name="Output 2 9" xfId="1328" xr:uid="{00000000-0005-0000-0000-000003080000}"/>
    <cellStyle name="Output 3" xfId="1329" xr:uid="{00000000-0005-0000-0000-000004080000}"/>
    <cellStyle name="Output 3 2" xfId="1330" xr:uid="{00000000-0005-0000-0000-000005080000}"/>
    <cellStyle name="Percent 10" xfId="1331" xr:uid="{00000000-0005-0000-0000-000006080000}"/>
    <cellStyle name="Percent 10 2" xfId="1332" xr:uid="{00000000-0005-0000-0000-000007080000}"/>
    <cellStyle name="Percent 10 2 2" xfId="2474" xr:uid="{00000000-0005-0000-0000-000008080000}"/>
    <cellStyle name="Percent 10 3" xfId="1333" xr:uid="{00000000-0005-0000-0000-000009080000}"/>
    <cellStyle name="Percent 10 3 2" xfId="2475" xr:uid="{00000000-0005-0000-0000-00000A080000}"/>
    <cellStyle name="Percent 10 4" xfId="1334" xr:uid="{00000000-0005-0000-0000-00000B080000}"/>
    <cellStyle name="Percent 10 4 2" xfId="2476" xr:uid="{00000000-0005-0000-0000-00000C080000}"/>
    <cellStyle name="Percent 10 5" xfId="1335" xr:uid="{00000000-0005-0000-0000-00000D080000}"/>
    <cellStyle name="Percent 10 5 2" xfId="2477" xr:uid="{00000000-0005-0000-0000-00000E080000}"/>
    <cellStyle name="Percent 10 6" xfId="1336" xr:uid="{00000000-0005-0000-0000-00000F080000}"/>
    <cellStyle name="Percent 10 6 2" xfId="2478" xr:uid="{00000000-0005-0000-0000-000010080000}"/>
    <cellStyle name="Percent 10 7" xfId="1337" xr:uid="{00000000-0005-0000-0000-000011080000}"/>
    <cellStyle name="Percent 10 7 2" xfId="2479" xr:uid="{00000000-0005-0000-0000-000012080000}"/>
    <cellStyle name="Percent 10 8" xfId="1338" xr:uid="{00000000-0005-0000-0000-000013080000}"/>
    <cellStyle name="Percent 10 8 2" xfId="2480" xr:uid="{00000000-0005-0000-0000-000014080000}"/>
    <cellStyle name="Percent 10 9" xfId="2473" xr:uid="{00000000-0005-0000-0000-000015080000}"/>
    <cellStyle name="Percent 11" xfId="1339" xr:uid="{00000000-0005-0000-0000-000016080000}"/>
    <cellStyle name="Percent 11 2" xfId="1340" xr:uid="{00000000-0005-0000-0000-000017080000}"/>
    <cellStyle name="Percent 11 2 2" xfId="2482" xr:uid="{00000000-0005-0000-0000-000018080000}"/>
    <cellStyle name="Percent 11 3" xfId="1341" xr:uid="{00000000-0005-0000-0000-000019080000}"/>
    <cellStyle name="Percent 11 3 2" xfId="2483" xr:uid="{00000000-0005-0000-0000-00001A080000}"/>
    <cellStyle name="Percent 11 4" xfId="1342" xr:uid="{00000000-0005-0000-0000-00001B080000}"/>
    <cellStyle name="Percent 11 4 2" xfId="2484" xr:uid="{00000000-0005-0000-0000-00001C080000}"/>
    <cellStyle name="Percent 11 5" xfId="1343" xr:uid="{00000000-0005-0000-0000-00001D080000}"/>
    <cellStyle name="Percent 11 5 2" xfId="2485" xr:uid="{00000000-0005-0000-0000-00001E080000}"/>
    <cellStyle name="Percent 11 6" xfId="1344" xr:uid="{00000000-0005-0000-0000-00001F080000}"/>
    <cellStyle name="Percent 11 6 2" xfId="2486" xr:uid="{00000000-0005-0000-0000-000020080000}"/>
    <cellStyle name="Percent 11 7" xfId="1345" xr:uid="{00000000-0005-0000-0000-000021080000}"/>
    <cellStyle name="Percent 11 7 2" xfId="2487" xr:uid="{00000000-0005-0000-0000-000022080000}"/>
    <cellStyle name="Percent 11 8" xfId="1346" xr:uid="{00000000-0005-0000-0000-000023080000}"/>
    <cellStyle name="Percent 11 8 2" xfId="2488" xr:uid="{00000000-0005-0000-0000-000024080000}"/>
    <cellStyle name="Percent 11 9" xfId="2481" xr:uid="{00000000-0005-0000-0000-000025080000}"/>
    <cellStyle name="Percent 12" xfId="1347" xr:uid="{00000000-0005-0000-0000-000026080000}"/>
    <cellStyle name="Percent 12 2" xfId="1348" xr:uid="{00000000-0005-0000-0000-000027080000}"/>
    <cellStyle name="Percent 12 2 2" xfId="2490" xr:uid="{00000000-0005-0000-0000-000028080000}"/>
    <cellStyle name="Percent 12 3" xfId="1349" xr:uid="{00000000-0005-0000-0000-000029080000}"/>
    <cellStyle name="Percent 12 3 2" xfId="2491" xr:uid="{00000000-0005-0000-0000-00002A080000}"/>
    <cellStyle name="Percent 12 4" xfId="1350" xr:uid="{00000000-0005-0000-0000-00002B080000}"/>
    <cellStyle name="Percent 12 4 2" xfId="2492" xr:uid="{00000000-0005-0000-0000-00002C080000}"/>
    <cellStyle name="Percent 12 5" xfId="1351" xr:uid="{00000000-0005-0000-0000-00002D080000}"/>
    <cellStyle name="Percent 12 5 2" xfId="2493" xr:uid="{00000000-0005-0000-0000-00002E080000}"/>
    <cellStyle name="Percent 12 6" xfId="1352" xr:uid="{00000000-0005-0000-0000-00002F080000}"/>
    <cellStyle name="Percent 12 6 2" xfId="2494" xr:uid="{00000000-0005-0000-0000-000030080000}"/>
    <cellStyle name="Percent 12 7" xfId="1353" xr:uid="{00000000-0005-0000-0000-000031080000}"/>
    <cellStyle name="Percent 12 7 2" xfId="2495" xr:uid="{00000000-0005-0000-0000-000032080000}"/>
    <cellStyle name="Percent 12 8" xfId="1354" xr:uid="{00000000-0005-0000-0000-000033080000}"/>
    <cellStyle name="Percent 12 8 2" xfId="2496" xr:uid="{00000000-0005-0000-0000-000034080000}"/>
    <cellStyle name="Percent 12 9" xfId="2489" xr:uid="{00000000-0005-0000-0000-000035080000}"/>
    <cellStyle name="Percent 13" xfId="1355" xr:uid="{00000000-0005-0000-0000-000036080000}"/>
    <cellStyle name="Percent 13 2" xfId="1356" xr:uid="{00000000-0005-0000-0000-000037080000}"/>
    <cellStyle name="Percent 13 2 2" xfId="2498" xr:uid="{00000000-0005-0000-0000-000038080000}"/>
    <cellStyle name="Percent 13 3" xfId="1357" xr:uid="{00000000-0005-0000-0000-000039080000}"/>
    <cellStyle name="Percent 13 3 2" xfId="2499" xr:uid="{00000000-0005-0000-0000-00003A080000}"/>
    <cellStyle name="Percent 13 4" xfId="1358" xr:uid="{00000000-0005-0000-0000-00003B080000}"/>
    <cellStyle name="Percent 13 4 2" xfId="2500" xr:uid="{00000000-0005-0000-0000-00003C080000}"/>
    <cellStyle name="Percent 13 5" xfId="1359" xr:uid="{00000000-0005-0000-0000-00003D080000}"/>
    <cellStyle name="Percent 13 5 2" xfId="2501" xr:uid="{00000000-0005-0000-0000-00003E080000}"/>
    <cellStyle name="Percent 13 6" xfId="1360" xr:uid="{00000000-0005-0000-0000-00003F080000}"/>
    <cellStyle name="Percent 13 6 2" xfId="2502" xr:uid="{00000000-0005-0000-0000-000040080000}"/>
    <cellStyle name="Percent 13 7" xfId="1361" xr:uid="{00000000-0005-0000-0000-000041080000}"/>
    <cellStyle name="Percent 13 7 2" xfId="2503" xr:uid="{00000000-0005-0000-0000-000042080000}"/>
    <cellStyle name="Percent 13 8" xfId="1362" xr:uid="{00000000-0005-0000-0000-000043080000}"/>
    <cellStyle name="Percent 13 8 2" xfId="2504" xr:uid="{00000000-0005-0000-0000-000044080000}"/>
    <cellStyle name="Percent 13 9" xfId="2497" xr:uid="{00000000-0005-0000-0000-000045080000}"/>
    <cellStyle name="Percent 14" xfId="1363" xr:uid="{00000000-0005-0000-0000-000046080000}"/>
    <cellStyle name="Percent 14 2" xfId="1364" xr:uid="{00000000-0005-0000-0000-000047080000}"/>
    <cellStyle name="Percent 14 2 2" xfId="2506" xr:uid="{00000000-0005-0000-0000-000048080000}"/>
    <cellStyle name="Percent 14 3" xfId="1365" xr:uid="{00000000-0005-0000-0000-000049080000}"/>
    <cellStyle name="Percent 14 3 2" xfId="2507" xr:uid="{00000000-0005-0000-0000-00004A080000}"/>
    <cellStyle name="Percent 14 4" xfId="1366" xr:uid="{00000000-0005-0000-0000-00004B080000}"/>
    <cellStyle name="Percent 14 4 2" xfId="2508" xr:uid="{00000000-0005-0000-0000-00004C080000}"/>
    <cellStyle name="Percent 14 5" xfId="1367" xr:uid="{00000000-0005-0000-0000-00004D080000}"/>
    <cellStyle name="Percent 14 5 2" xfId="2509" xr:uid="{00000000-0005-0000-0000-00004E080000}"/>
    <cellStyle name="Percent 14 6" xfId="1368" xr:uid="{00000000-0005-0000-0000-00004F080000}"/>
    <cellStyle name="Percent 14 6 2" xfId="2510" xr:uid="{00000000-0005-0000-0000-000050080000}"/>
    <cellStyle name="Percent 14 7" xfId="1369" xr:uid="{00000000-0005-0000-0000-000051080000}"/>
    <cellStyle name="Percent 14 7 2" xfId="2511" xr:uid="{00000000-0005-0000-0000-000052080000}"/>
    <cellStyle name="Percent 14 8" xfId="1370" xr:uid="{00000000-0005-0000-0000-000053080000}"/>
    <cellStyle name="Percent 14 8 2" xfId="2512" xr:uid="{00000000-0005-0000-0000-000054080000}"/>
    <cellStyle name="Percent 14 9" xfId="2505" xr:uid="{00000000-0005-0000-0000-000055080000}"/>
    <cellStyle name="Percent 15" xfId="1371" xr:uid="{00000000-0005-0000-0000-000056080000}"/>
    <cellStyle name="Percent 15 10" xfId="1372" xr:uid="{00000000-0005-0000-0000-000057080000}"/>
    <cellStyle name="Percent 15 10 2" xfId="2513" xr:uid="{00000000-0005-0000-0000-000058080000}"/>
    <cellStyle name="Percent 15 11" xfId="1373" xr:uid="{00000000-0005-0000-0000-000059080000}"/>
    <cellStyle name="Percent 15 11 2" xfId="2514" xr:uid="{00000000-0005-0000-0000-00005A080000}"/>
    <cellStyle name="Percent 15 12" xfId="1374" xr:uid="{00000000-0005-0000-0000-00005B080000}"/>
    <cellStyle name="Percent 15 12 2" xfId="2515" xr:uid="{00000000-0005-0000-0000-00005C080000}"/>
    <cellStyle name="Percent 15 13" xfId="1375" xr:uid="{00000000-0005-0000-0000-00005D080000}"/>
    <cellStyle name="Percent 15 13 2" xfId="2516" xr:uid="{00000000-0005-0000-0000-00005E080000}"/>
    <cellStyle name="Percent 15 14" xfId="1376" xr:uid="{00000000-0005-0000-0000-00005F080000}"/>
    <cellStyle name="Percent 15 14 2" xfId="2517" xr:uid="{00000000-0005-0000-0000-000060080000}"/>
    <cellStyle name="Percent 15 2" xfId="1377" xr:uid="{00000000-0005-0000-0000-000061080000}"/>
    <cellStyle name="Percent 15 2 2" xfId="1378" xr:uid="{00000000-0005-0000-0000-000062080000}"/>
    <cellStyle name="Percent 15 2 3" xfId="1379" xr:uid="{00000000-0005-0000-0000-000063080000}"/>
    <cellStyle name="Percent 15 2 4" xfId="1380" xr:uid="{00000000-0005-0000-0000-000064080000}"/>
    <cellStyle name="Percent 15 2 5" xfId="1381" xr:uid="{00000000-0005-0000-0000-000065080000}"/>
    <cellStyle name="Percent 15 2 6" xfId="1382" xr:uid="{00000000-0005-0000-0000-000066080000}"/>
    <cellStyle name="Percent 15 2 7" xfId="1383" xr:uid="{00000000-0005-0000-0000-000067080000}"/>
    <cellStyle name="Percent 15 2 8" xfId="2518" xr:uid="{00000000-0005-0000-0000-000068080000}"/>
    <cellStyle name="Percent 15 3" xfId="1384" xr:uid="{00000000-0005-0000-0000-000069080000}"/>
    <cellStyle name="Percent 15 4" xfId="1385" xr:uid="{00000000-0005-0000-0000-00006A080000}"/>
    <cellStyle name="Percent 15 4 2" xfId="2519" xr:uid="{00000000-0005-0000-0000-00006B080000}"/>
    <cellStyle name="Percent 15 5" xfId="1386" xr:uid="{00000000-0005-0000-0000-00006C080000}"/>
    <cellStyle name="Percent 15 6" xfId="1387" xr:uid="{00000000-0005-0000-0000-00006D080000}"/>
    <cellStyle name="Percent 15 7" xfId="1388" xr:uid="{00000000-0005-0000-0000-00006E080000}"/>
    <cellStyle name="Percent 15 8" xfId="1389" xr:uid="{00000000-0005-0000-0000-00006F080000}"/>
    <cellStyle name="Percent 15 9" xfId="1390" xr:uid="{00000000-0005-0000-0000-000070080000}"/>
    <cellStyle name="Percent 15 9 2" xfId="2520" xr:uid="{00000000-0005-0000-0000-000071080000}"/>
    <cellStyle name="Percent 16 2" xfId="1391" xr:uid="{00000000-0005-0000-0000-000072080000}"/>
    <cellStyle name="Percent 16 3" xfId="1392" xr:uid="{00000000-0005-0000-0000-000073080000}"/>
    <cellStyle name="Percent 16 3 10" xfId="1393" xr:uid="{00000000-0005-0000-0000-000074080000}"/>
    <cellStyle name="Percent 16 3 10 2" xfId="2522" xr:uid="{00000000-0005-0000-0000-000075080000}"/>
    <cellStyle name="Percent 16 3 11" xfId="1394" xr:uid="{00000000-0005-0000-0000-000076080000}"/>
    <cellStyle name="Percent 16 3 11 2" xfId="2523" xr:uid="{00000000-0005-0000-0000-000077080000}"/>
    <cellStyle name="Percent 16 3 12" xfId="1395" xr:uid="{00000000-0005-0000-0000-000078080000}"/>
    <cellStyle name="Percent 16 3 12 2" xfId="2524" xr:uid="{00000000-0005-0000-0000-000079080000}"/>
    <cellStyle name="Percent 16 3 13" xfId="1396" xr:uid="{00000000-0005-0000-0000-00007A080000}"/>
    <cellStyle name="Percent 16 3 13 2" xfId="2525" xr:uid="{00000000-0005-0000-0000-00007B080000}"/>
    <cellStyle name="Percent 16 3 14" xfId="1397" xr:uid="{00000000-0005-0000-0000-00007C080000}"/>
    <cellStyle name="Percent 16 3 14 2" xfId="2526" xr:uid="{00000000-0005-0000-0000-00007D080000}"/>
    <cellStyle name="Percent 16 3 15" xfId="1398" xr:uid="{00000000-0005-0000-0000-00007E080000}"/>
    <cellStyle name="Percent 16 3 15 2" xfId="2527" xr:uid="{00000000-0005-0000-0000-00007F080000}"/>
    <cellStyle name="Percent 16 3 16" xfId="1399" xr:uid="{00000000-0005-0000-0000-000080080000}"/>
    <cellStyle name="Percent 16 3 16 2" xfId="2528" xr:uid="{00000000-0005-0000-0000-000081080000}"/>
    <cellStyle name="Percent 16 3 17" xfId="1400" xr:uid="{00000000-0005-0000-0000-000082080000}"/>
    <cellStyle name="Percent 16 3 17 2" xfId="2529" xr:uid="{00000000-0005-0000-0000-000083080000}"/>
    <cellStyle name="Percent 16 3 18" xfId="2521" xr:uid="{00000000-0005-0000-0000-000084080000}"/>
    <cellStyle name="Percent 16 3 2" xfId="1401" xr:uid="{00000000-0005-0000-0000-000085080000}"/>
    <cellStyle name="Percent 16 3 2 2" xfId="2530" xr:uid="{00000000-0005-0000-0000-000086080000}"/>
    <cellStyle name="Percent 16 3 3" xfId="1402" xr:uid="{00000000-0005-0000-0000-000087080000}"/>
    <cellStyle name="Percent 16 3 3 2" xfId="2531" xr:uid="{00000000-0005-0000-0000-000088080000}"/>
    <cellStyle name="Percent 16 3 4" xfId="1403" xr:uid="{00000000-0005-0000-0000-000089080000}"/>
    <cellStyle name="Percent 16 3 4 2" xfId="2532" xr:uid="{00000000-0005-0000-0000-00008A080000}"/>
    <cellStyle name="Percent 16 3 5" xfId="1404" xr:uid="{00000000-0005-0000-0000-00008B080000}"/>
    <cellStyle name="Percent 16 3 5 2" xfId="2533" xr:uid="{00000000-0005-0000-0000-00008C080000}"/>
    <cellStyle name="Percent 16 3 6" xfId="1405" xr:uid="{00000000-0005-0000-0000-00008D080000}"/>
    <cellStyle name="Percent 16 3 6 2" xfId="2534" xr:uid="{00000000-0005-0000-0000-00008E080000}"/>
    <cellStyle name="Percent 16 3 7" xfId="1406" xr:uid="{00000000-0005-0000-0000-00008F080000}"/>
    <cellStyle name="Percent 16 3 7 2" xfId="2535" xr:uid="{00000000-0005-0000-0000-000090080000}"/>
    <cellStyle name="Percent 16 3 8" xfId="1407" xr:uid="{00000000-0005-0000-0000-000091080000}"/>
    <cellStyle name="Percent 16 3 8 2" xfId="2536" xr:uid="{00000000-0005-0000-0000-000092080000}"/>
    <cellStyle name="Percent 16 3 9" xfId="1408" xr:uid="{00000000-0005-0000-0000-000093080000}"/>
    <cellStyle name="Percent 16 3 9 2" xfId="2537" xr:uid="{00000000-0005-0000-0000-000094080000}"/>
    <cellStyle name="Percent 16 4" xfId="1409" xr:uid="{00000000-0005-0000-0000-000095080000}"/>
    <cellStyle name="Percent 16 4 10" xfId="1410" xr:uid="{00000000-0005-0000-0000-000096080000}"/>
    <cellStyle name="Percent 16 4 10 2" xfId="2539" xr:uid="{00000000-0005-0000-0000-000097080000}"/>
    <cellStyle name="Percent 16 4 11" xfId="1411" xr:uid="{00000000-0005-0000-0000-000098080000}"/>
    <cellStyle name="Percent 16 4 11 2" xfId="2540" xr:uid="{00000000-0005-0000-0000-000099080000}"/>
    <cellStyle name="Percent 16 4 12" xfId="1412" xr:uid="{00000000-0005-0000-0000-00009A080000}"/>
    <cellStyle name="Percent 16 4 12 2" xfId="2541" xr:uid="{00000000-0005-0000-0000-00009B080000}"/>
    <cellStyle name="Percent 16 4 13" xfId="1413" xr:uid="{00000000-0005-0000-0000-00009C080000}"/>
    <cellStyle name="Percent 16 4 13 2" xfId="2542" xr:uid="{00000000-0005-0000-0000-00009D080000}"/>
    <cellStyle name="Percent 16 4 14" xfId="1414" xr:uid="{00000000-0005-0000-0000-00009E080000}"/>
    <cellStyle name="Percent 16 4 14 2" xfId="2543" xr:uid="{00000000-0005-0000-0000-00009F080000}"/>
    <cellStyle name="Percent 16 4 15" xfId="1415" xr:uid="{00000000-0005-0000-0000-0000A0080000}"/>
    <cellStyle name="Percent 16 4 15 2" xfId="2544" xr:uid="{00000000-0005-0000-0000-0000A1080000}"/>
    <cellStyle name="Percent 16 4 16" xfId="1416" xr:uid="{00000000-0005-0000-0000-0000A2080000}"/>
    <cellStyle name="Percent 16 4 16 2" xfId="2545" xr:uid="{00000000-0005-0000-0000-0000A3080000}"/>
    <cellStyle name="Percent 16 4 17" xfId="1417" xr:uid="{00000000-0005-0000-0000-0000A4080000}"/>
    <cellStyle name="Percent 16 4 17 2" xfId="2546" xr:uid="{00000000-0005-0000-0000-0000A5080000}"/>
    <cellStyle name="Percent 16 4 18" xfId="2538" xr:uid="{00000000-0005-0000-0000-0000A6080000}"/>
    <cellStyle name="Percent 16 4 2" xfId="1418" xr:uid="{00000000-0005-0000-0000-0000A7080000}"/>
    <cellStyle name="Percent 16 4 2 2" xfId="2547" xr:uid="{00000000-0005-0000-0000-0000A8080000}"/>
    <cellStyle name="Percent 16 4 3" xfId="1419" xr:uid="{00000000-0005-0000-0000-0000A9080000}"/>
    <cellStyle name="Percent 16 4 3 2" xfId="2548" xr:uid="{00000000-0005-0000-0000-0000AA080000}"/>
    <cellStyle name="Percent 16 4 4" xfId="1420" xr:uid="{00000000-0005-0000-0000-0000AB080000}"/>
    <cellStyle name="Percent 16 4 4 2" xfId="2549" xr:uid="{00000000-0005-0000-0000-0000AC080000}"/>
    <cellStyle name="Percent 16 4 5" xfId="1421" xr:uid="{00000000-0005-0000-0000-0000AD080000}"/>
    <cellStyle name="Percent 16 4 5 2" xfId="2550" xr:uid="{00000000-0005-0000-0000-0000AE080000}"/>
    <cellStyle name="Percent 16 4 6" xfId="1422" xr:uid="{00000000-0005-0000-0000-0000AF080000}"/>
    <cellStyle name="Percent 16 4 6 2" xfId="2551" xr:uid="{00000000-0005-0000-0000-0000B0080000}"/>
    <cellStyle name="Percent 16 4 7" xfId="1423" xr:uid="{00000000-0005-0000-0000-0000B1080000}"/>
    <cellStyle name="Percent 16 4 7 2" xfId="2552" xr:uid="{00000000-0005-0000-0000-0000B2080000}"/>
    <cellStyle name="Percent 16 4 8" xfId="1424" xr:uid="{00000000-0005-0000-0000-0000B3080000}"/>
    <cellStyle name="Percent 16 4 8 2" xfId="2553" xr:uid="{00000000-0005-0000-0000-0000B4080000}"/>
    <cellStyle name="Percent 16 4 9" xfId="1425" xr:uid="{00000000-0005-0000-0000-0000B5080000}"/>
    <cellStyle name="Percent 16 4 9 2" xfId="2554" xr:uid="{00000000-0005-0000-0000-0000B6080000}"/>
    <cellStyle name="Percent 16 5" xfId="1426" xr:uid="{00000000-0005-0000-0000-0000B7080000}"/>
    <cellStyle name="Percent 16 5 10" xfId="1427" xr:uid="{00000000-0005-0000-0000-0000B8080000}"/>
    <cellStyle name="Percent 16 5 10 2" xfId="2556" xr:uid="{00000000-0005-0000-0000-0000B9080000}"/>
    <cellStyle name="Percent 16 5 11" xfId="1428" xr:uid="{00000000-0005-0000-0000-0000BA080000}"/>
    <cellStyle name="Percent 16 5 11 2" xfId="2557" xr:uid="{00000000-0005-0000-0000-0000BB080000}"/>
    <cellStyle name="Percent 16 5 12" xfId="1429" xr:uid="{00000000-0005-0000-0000-0000BC080000}"/>
    <cellStyle name="Percent 16 5 12 2" xfId="2558" xr:uid="{00000000-0005-0000-0000-0000BD080000}"/>
    <cellStyle name="Percent 16 5 13" xfId="1430" xr:uid="{00000000-0005-0000-0000-0000BE080000}"/>
    <cellStyle name="Percent 16 5 13 2" xfId="2559" xr:uid="{00000000-0005-0000-0000-0000BF080000}"/>
    <cellStyle name="Percent 16 5 14" xfId="1431" xr:uid="{00000000-0005-0000-0000-0000C0080000}"/>
    <cellStyle name="Percent 16 5 14 2" xfId="2560" xr:uid="{00000000-0005-0000-0000-0000C1080000}"/>
    <cellStyle name="Percent 16 5 15" xfId="1432" xr:uid="{00000000-0005-0000-0000-0000C2080000}"/>
    <cellStyle name="Percent 16 5 15 2" xfId="2561" xr:uid="{00000000-0005-0000-0000-0000C3080000}"/>
    <cellStyle name="Percent 16 5 16" xfId="1433" xr:uid="{00000000-0005-0000-0000-0000C4080000}"/>
    <cellStyle name="Percent 16 5 16 2" xfId="2562" xr:uid="{00000000-0005-0000-0000-0000C5080000}"/>
    <cellStyle name="Percent 16 5 17" xfId="1434" xr:uid="{00000000-0005-0000-0000-0000C6080000}"/>
    <cellStyle name="Percent 16 5 17 2" xfId="2563" xr:uid="{00000000-0005-0000-0000-0000C7080000}"/>
    <cellStyle name="Percent 16 5 18" xfId="2555" xr:uid="{00000000-0005-0000-0000-0000C8080000}"/>
    <cellStyle name="Percent 16 5 2" xfId="1435" xr:uid="{00000000-0005-0000-0000-0000C9080000}"/>
    <cellStyle name="Percent 16 5 2 2" xfId="2564" xr:uid="{00000000-0005-0000-0000-0000CA080000}"/>
    <cellStyle name="Percent 16 5 3" xfId="1436" xr:uid="{00000000-0005-0000-0000-0000CB080000}"/>
    <cellStyle name="Percent 16 5 3 2" xfId="2565" xr:uid="{00000000-0005-0000-0000-0000CC080000}"/>
    <cellStyle name="Percent 16 5 4" xfId="1437" xr:uid="{00000000-0005-0000-0000-0000CD080000}"/>
    <cellStyle name="Percent 16 5 4 2" xfId="2566" xr:uid="{00000000-0005-0000-0000-0000CE080000}"/>
    <cellStyle name="Percent 16 5 5" xfId="1438" xr:uid="{00000000-0005-0000-0000-0000CF080000}"/>
    <cellStyle name="Percent 16 5 5 2" xfId="2567" xr:uid="{00000000-0005-0000-0000-0000D0080000}"/>
    <cellStyle name="Percent 16 5 6" xfId="1439" xr:uid="{00000000-0005-0000-0000-0000D1080000}"/>
    <cellStyle name="Percent 16 5 6 2" xfId="2568" xr:uid="{00000000-0005-0000-0000-0000D2080000}"/>
    <cellStyle name="Percent 16 5 7" xfId="1440" xr:uid="{00000000-0005-0000-0000-0000D3080000}"/>
    <cellStyle name="Percent 16 5 7 2" xfId="2569" xr:uid="{00000000-0005-0000-0000-0000D4080000}"/>
    <cellStyle name="Percent 16 5 8" xfId="1441" xr:uid="{00000000-0005-0000-0000-0000D5080000}"/>
    <cellStyle name="Percent 16 5 8 2" xfId="2570" xr:uid="{00000000-0005-0000-0000-0000D6080000}"/>
    <cellStyle name="Percent 16 5 9" xfId="1442" xr:uid="{00000000-0005-0000-0000-0000D7080000}"/>
    <cellStyle name="Percent 16 5 9 2" xfId="2571" xr:uid="{00000000-0005-0000-0000-0000D8080000}"/>
    <cellStyle name="Percent 16 6" xfId="1443" xr:uid="{00000000-0005-0000-0000-0000D9080000}"/>
    <cellStyle name="Percent 16 6 10" xfId="1444" xr:uid="{00000000-0005-0000-0000-0000DA080000}"/>
    <cellStyle name="Percent 16 6 10 2" xfId="2573" xr:uid="{00000000-0005-0000-0000-0000DB080000}"/>
    <cellStyle name="Percent 16 6 11" xfId="1445" xr:uid="{00000000-0005-0000-0000-0000DC080000}"/>
    <cellStyle name="Percent 16 6 11 2" xfId="2574" xr:uid="{00000000-0005-0000-0000-0000DD080000}"/>
    <cellStyle name="Percent 16 6 12" xfId="1446" xr:uid="{00000000-0005-0000-0000-0000DE080000}"/>
    <cellStyle name="Percent 16 6 12 2" xfId="2575" xr:uid="{00000000-0005-0000-0000-0000DF080000}"/>
    <cellStyle name="Percent 16 6 13" xfId="1447" xr:uid="{00000000-0005-0000-0000-0000E0080000}"/>
    <cellStyle name="Percent 16 6 13 2" xfId="2576" xr:uid="{00000000-0005-0000-0000-0000E1080000}"/>
    <cellStyle name="Percent 16 6 14" xfId="1448" xr:uid="{00000000-0005-0000-0000-0000E2080000}"/>
    <cellStyle name="Percent 16 6 14 2" xfId="2577" xr:uid="{00000000-0005-0000-0000-0000E3080000}"/>
    <cellStyle name="Percent 16 6 15" xfId="1449" xr:uid="{00000000-0005-0000-0000-0000E4080000}"/>
    <cellStyle name="Percent 16 6 15 2" xfId="2578" xr:uid="{00000000-0005-0000-0000-0000E5080000}"/>
    <cellStyle name="Percent 16 6 16" xfId="1450" xr:uid="{00000000-0005-0000-0000-0000E6080000}"/>
    <cellStyle name="Percent 16 6 16 2" xfId="2579" xr:uid="{00000000-0005-0000-0000-0000E7080000}"/>
    <cellStyle name="Percent 16 6 17" xfId="1451" xr:uid="{00000000-0005-0000-0000-0000E8080000}"/>
    <cellStyle name="Percent 16 6 17 2" xfId="2580" xr:uid="{00000000-0005-0000-0000-0000E9080000}"/>
    <cellStyle name="Percent 16 6 18" xfId="2572" xr:uid="{00000000-0005-0000-0000-0000EA080000}"/>
    <cellStyle name="Percent 16 6 2" xfId="1452" xr:uid="{00000000-0005-0000-0000-0000EB080000}"/>
    <cellStyle name="Percent 16 6 2 2" xfId="2581" xr:uid="{00000000-0005-0000-0000-0000EC080000}"/>
    <cellStyle name="Percent 16 6 3" xfId="1453" xr:uid="{00000000-0005-0000-0000-0000ED080000}"/>
    <cellStyle name="Percent 16 6 3 2" xfId="2582" xr:uid="{00000000-0005-0000-0000-0000EE080000}"/>
    <cellStyle name="Percent 16 6 4" xfId="1454" xr:uid="{00000000-0005-0000-0000-0000EF080000}"/>
    <cellStyle name="Percent 16 6 4 2" xfId="2583" xr:uid="{00000000-0005-0000-0000-0000F0080000}"/>
    <cellStyle name="Percent 16 6 5" xfId="1455" xr:uid="{00000000-0005-0000-0000-0000F1080000}"/>
    <cellStyle name="Percent 16 6 5 2" xfId="2584" xr:uid="{00000000-0005-0000-0000-0000F2080000}"/>
    <cellStyle name="Percent 16 6 6" xfId="1456" xr:uid="{00000000-0005-0000-0000-0000F3080000}"/>
    <cellStyle name="Percent 16 6 6 2" xfId="2585" xr:uid="{00000000-0005-0000-0000-0000F4080000}"/>
    <cellStyle name="Percent 16 6 7" xfId="1457" xr:uid="{00000000-0005-0000-0000-0000F5080000}"/>
    <cellStyle name="Percent 16 6 7 2" xfId="2586" xr:uid="{00000000-0005-0000-0000-0000F6080000}"/>
    <cellStyle name="Percent 16 6 8" xfId="1458" xr:uid="{00000000-0005-0000-0000-0000F7080000}"/>
    <cellStyle name="Percent 16 6 8 2" xfId="2587" xr:uid="{00000000-0005-0000-0000-0000F8080000}"/>
    <cellStyle name="Percent 16 6 9" xfId="1459" xr:uid="{00000000-0005-0000-0000-0000F9080000}"/>
    <cellStyle name="Percent 16 6 9 2" xfId="2588" xr:uid="{00000000-0005-0000-0000-0000FA080000}"/>
    <cellStyle name="Percent 16 7" xfId="1460" xr:uid="{00000000-0005-0000-0000-0000FB080000}"/>
    <cellStyle name="Percent 16 7 10" xfId="1461" xr:uid="{00000000-0005-0000-0000-0000FC080000}"/>
    <cellStyle name="Percent 16 7 10 2" xfId="2590" xr:uid="{00000000-0005-0000-0000-0000FD080000}"/>
    <cellStyle name="Percent 16 7 11" xfId="1462" xr:uid="{00000000-0005-0000-0000-0000FE080000}"/>
    <cellStyle name="Percent 16 7 11 2" xfId="2591" xr:uid="{00000000-0005-0000-0000-0000FF080000}"/>
    <cellStyle name="Percent 16 7 12" xfId="1463" xr:uid="{00000000-0005-0000-0000-000000090000}"/>
    <cellStyle name="Percent 16 7 12 2" xfId="2592" xr:uid="{00000000-0005-0000-0000-000001090000}"/>
    <cellStyle name="Percent 16 7 13" xfId="1464" xr:uid="{00000000-0005-0000-0000-000002090000}"/>
    <cellStyle name="Percent 16 7 13 2" xfId="2593" xr:uid="{00000000-0005-0000-0000-000003090000}"/>
    <cellStyle name="Percent 16 7 14" xfId="1465" xr:uid="{00000000-0005-0000-0000-000004090000}"/>
    <cellStyle name="Percent 16 7 14 2" xfId="2594" xr:uid="{00000000-0005-0000-0000-000005090000}"/>
    <cellStyle name="Percent 16 7 15" xfId="1466" xr:uid="{00000000-0005-0000-0000-000006090000}"/>
    <cellStyle name="Percent 16 7 15 2" xfId="2595" xr:uid="{00000000-0005-0000-0000-000007090000}"/>
    <cellStyle name="Percent 16 7 16" xfId="1467" xr:uid="{00000000-0005-0000-0000-000008090000}"/>
    <cellStyle name="Percent 16 7 16 2" xfId="2596" xr:uid="{00000000-0005-0000-0000-000009090000}"/>
    <cellStyle name="Percent 16 7 17" xfId="1468" xr:uid="{00000000-0005-0000-0000-00000A090000}"/>
    <cellStyle name="Percent 16 7 17 2" xfId="2597" xr:uid="{00000000-0005-0000-0000-00000B090000}"/>
    <cellStyle name="Percent 16 7 18" xfId="2589" xr:uid="{00000000-0005-0000-0000-00000C090000}"/>
    <cellStyle name="Percent 16 7 2" xfId="1469" xr:uid="{00000000-0005-0000-0000-00000D090000}"/>
    <cellStyle name="Percent 16 7 2 2" xfId="2598" xr:uid="{00000000-0005-0000-0000-00000E090000}"/>
    <cellStyle name="Percent 16 7 3" xfId="1470" xr:uid="{00000000-0005-0000-0000-00000F090000}"/>
    <cellStyle name="Percent 16 7 3 2" xfId="2599" xr:uid="{00000000-0005-0000-0000-000010090000}"/>
    <cellStyle name="Percent 16 7 4" xfId="1471" xr:uid="{00000000-0005-0000-0000-000011090000}"/>
    <cellStyle name="Percent 16 7 4 2" xfId="2600" xr:uid="{00000000-0005-0000-0000-000012090000}"/>
    <cellStyle name="Percent 16 7 5" xfId="1472" xr:uid="{00000000-0005-0000-0000-000013090000}"/>
    <cellStyle name="Percent 16 7 5 2" xfId="2601" xr:uid="{00000000-0005-0000-0000-000014090000}"/>
    <cellStyle name="Percent 16 7 6" xfId="1473" xr:uid="{00000000-0005-0000-0000-000015090000}"/>
    <cellStyle name="Percent 16 7 6 2" xfId="2602" xr:uid="{00000000-0005-0000-0000-000016090000}"/>
    <cellStyle name="Percent 16 7 7" xfId="1474" xr:uid="{00000000-0005-0000-0000-000017090000}"/>
    <cellStyle name="Percent 16 7 7 2" xfId="2603" xr:uid="{00000000-0005-0000-0000-000018090000}"/>
    <cellStyle name="Percent 16 7 8" xfId="1475" xr:uid="{00000000-0005-0000-0000-000019090000}"/>
    <cellStyle name="Percent 16 7 8 2" xfId="2604" xr:uid="{00000000-0005-0000-0000-00001A090000}"/>
    <cellStyle name="Percent 16 7 9" xfId="1476" xr:uid="{00000000-0005-0000-0000-00001B090000}"/>
    <cellStyle name="Percent 16 7 9 2" xfId="2605" xr:uid="{00000000-0005-0000-0000-00001C090000}"/>
    <cellStyle name="Percent 16 8" xfId="1477" xr:uid="{00000000-0005-0000-0000-00001D090000}"/>
    <cellStyle name="Percent 16 8 10" xfId="1478" xr:uid="{00000000-0005-0000-0000-00001E090000}"/>
    <cellStyle name="Percent 16 8 10 2" xfId="2607" xr:uid="{00000000-0005-0000-0000-00001F090000}"/>
    <cellStyle name="Percent 16 8 11" xfId="1479" xr:uid="{00000000-0005-0000-0000-000020090000}"/>
    <cellStyle name="Percent 16 8 11 2" xfId="2608" xr:uid="{00000000-0005-0000-0000-000021090000}"/>
    <cellStyle name="Percent 16 8 12" xfId="1480" xr:uid="{00000000-0005-0000-0000-000022090000}"/>
    <cellStyle name="Percent 16 8 12 2" xfId="2609" xr:uid="{00000000-0005-0000-0000-000023090000}"/>
    <cellStyle name="Percent 16 8 13" xfId="1481" xr:uid="{00000000-0005-0000-0000-000024090000}"/>
    <cellStyle name="Percent 16 8 13 2" xfId="2610" xr:uid="{00000000-0005-0000-0000-000025090000}"/>
    <cellStyle name="Percent 16 8 14" xfId="1482" xr:uid="{00000000-0005-0000-0000-000026090000}"/>
    <cellStyle name="Percent 16 8 14 2" xfId="2611" xr:uid="{00000000-0005-0000-0000-000027090000}"/>
    <cellStyle name="Percent 16 8 15" xfId="1483" xr:uid="{00000000-0005-0000-0000-000028090000}"/>
    <cellStyle name="Percent 16 8 15 2" xfId="2612" xr:uid="{00000000-0005-0000-0000-000029090000}"/>
    <cellStyle name="Percent 16 8 16" xfId="1484" xr:uid="{00000000-0005-0000-0000-00002A090000}"/>
    <cellStyle name="Percent 16 8 16 2" xfId="2613" xr:uid="{00000000-0005-0000-0000-00002B090000}"/>
    <cellStyle name="Percent 16 8 17" xfId="1485" xr:uid="{00000000-0005-0000-0000-00002C090000}"/>
    <cellStyle name="Percent 16 8 17 2" xfId="2614" xr:uid="{00000000-0005-0000-0000-00002D090000}"/>
    <cellStyle name="Percent 16 8 18" xfId="2606" xr:uid="{00000000-0005-0000-0000-00002E090000}"/>
    <cellStyle name="Percent 16 8 2" xfId="1486" xr:uid="{00000000-0005-0000-0000-00002F090000}"/>
    <cellStyle name="Percent 16 8 2 2" xfId="2615" xr:uid="{00000000-0005-0000-0000-000030090000}"/>
    <cellStyle name="Percent 16 8 3" xfId="1487" xr:uid="{00000000-0005-0000-0000-000031090000}"/>
    <cellStyle name="Percent 16 8 3 2" xfId="2616" xr:uid="{00000000-0005-0000-0000-000032090000}"/>
    <cellStyle name="Percent 16 8 4" xfId="1488" xr:uid="{00000000-0005-0000-0000-000033090000}"/>
    <cellStyle name="Percent 16 8 4 2" xfId="2617" xr:uid="{00000000-0005-0000-0000-000034090000}"/>
    <cellStyle name="Percent 16 8 5" xfId="1489" xr:uid="{00000000-0005-0000-0000-000035090000}"/>
    <cellStyle name="Percent 16 8 5 2" xfId="2618" xr:uid="{00000000-0005-0000-0000-000036090000}"/>
    <cellStyle name="Percent 16 8 6" xfId="1490" xr:uid="{00000000-0005-0000-0000-000037090000}"/>
    <cellStyle name="Percent 16 8 6 2" xfId="2619" xr:uid="{00000000-0005-0000-0000-000038090000}"/>
    <cellStyle name="Percent 16 8 7" xfId="1491" xr:uid="{00000000-0005-0000-0000-000039090000}"/>
    <cellStyle name="Percent 16 8 7 2" xfId="2620" xr:uid="{00000000-0005-0000-0000-00003A090000}"/>
    <cellStyle name="Percent 16 8 8" xfId="1492" xr:uid="{00000000-0005-0000-0000-00003B090000}"/>
    <cellStyle name="Percent 16 8 8 2" xfId="2621" xr:uid="{00000000-0005-0000-0000-00003C090000}"/>
    <cellStyle name="Percent 16 8 9" xfId="1493" xr:uid="{00000000-0005-0000-0000-00003D090000}"/>
    <cellStyle name="Percent 16 8 9 2" xfId="2622" xr:uid="{00000000-0005-0000-0000-00003E090000}"/>
    <cellStyle name="Percent 16 9" xfId="1494" xr:uid="{00000000-0005-0000-0000-00003F090000}"/>
    <cellStyle name="Percent 16 9 10" xfId="1495" xr:uid="{00000000-0005-0000-0000-000040090000}"/>
    <cellStyle name="Percent 16 9 10 2" xfId="2624" xr:uid="{00000000-0005-0000-0000-000041090000}"/>
    <cellStyle name="Percent 16 9 11" xfId="1496" xr:uid="{00000000-0005-0000-0000-000042090000}"/>
    <cellStyle name="Percent 16 9 11 2" xfId="2625" xr:uid="{00000000-0005-0000-0000-000043090000}"/>
    <cellStyle name="Percent 16 9 12" xfId="1497" xr:uid="{00000000-0005-0000-0000-000044090000}"/>
    <cellStyle name="Percent 16 9 12 2" xfId="2626" xr:uid="{00000000-0005-0000-0000-000045090000}"/>
    <cellStyle name="Percent 16 9 13" xfId="1498" xr:uid="{00000000-0005-0000-0000-000046090000}"/>
    <cellStyle name="Percent 16 9 13 2" xfId="2627" xr:uid="{00000000-0005-0000-0000-000047090000}"/>
    <cellStyle name="Percent 16 9 14" xfId="1499" xr:uid="{00000000-0005-0000-0000-000048090000}"/>
    <cellStyle name="Percent 16 9 14 2" xfId="2628" xr:uid="{00000000-0005-0000-0000-000049090000}"/>
    <cellStyle name="Percent 16 9 15" xfId="1500" xr:uid="{00000000-0005-0000-0000-00004A090000}"/>
    <cellStyle name="Percent 16 9 15 2" xfId="2629" xr:uid="{00000000-0005-0000-0000-00004B090000}"/>
    <cellStyle name="Percent 16 9 16" xfId="1501" xr:uid="{00000000-0005-0000-0000-00004C090000}"/>
    <cellStyle name="Percent 16 9 16 2" xfId="2630" xr:uid="{00000000-0005-0000-0000-00004D090000}"/>
    <cellStyle name="Percent 16 9 17" xfId="1502" xr:uid="{00000000-0005-0000-0000-00004E090000}"/>
    <cellStyle name="Percent 16 9 17 2" xfId="2631" xr:uid="{00000000-0005-0000-0000-00004F090000}"/>
    <cellStyle name="Percent 16 9 18" xfId="2623" xr:uid="{00000000-0005-0000-0000-000050090000}"/>
    <cellStyle name="Percent 16 9 2" xfId="1503" xr:uid="{00000000-0005-0000-0000-000051090000}"/>
    <cellStyle name="Percent 16 9 2 2" xfId="2632" xr:uid="{00000000-0005-0000-0000-000052090000}"/>
    <cellStyle name="Percent 16 9 3" xfId="1504" xr:uid="{00000000-0005-0000-0000-000053090000}"/>
    <cellStyle name="Percent 16 9 3 2" xfId="2633" xr:uid="{00000000-0005-0000-0000-000054090000}"/>
    <cellStyle name="Percent 16 9 4" xfId="1505" xr:uid="{00000000-0005-0000-0000-000055090000}"/>
    <cellStyle name="Percent 16 9 4 2" xfId="2634" xr:uid="{00000000-0005-0000-0000-000056090000}"/>
    <cellStyle name="Percent 16 9 5" xfId="1506" xr:uid="{00000000-0005-0000-0000-000057090000}"/>
    <cellStyle name="Percent 16 9 5 2" xfId="2635" xr:uid="{00000000-0005-0000-0000-000058090000}"/>
    <cellStyle name="Percent 16 9 6" xfId="1507" xr:uid="{00000000-0005-0000-0000-000059090000}"/>
    <cellStyle name="Percent 16 9 6 2" xfId="2636" xr:uid="{00000000-0005-0000-0000-00005A090000}"/>
    <cellStyle name="Percent 16 9 7" xfId="1508" xr:uid="{00000000-0005-0000-0000-00005B090000}"/>
    <cellStyle name="Percent 16 9 7 2" xfId="2637" xr:uid="{00000000-0005-0000-0000-00005C090000}"/>
    <cellStyle name="Percent 16 9 8" xfId="1509" xr:uid="{00000000-0005-0000-0000-00005D090000}"/>
    <cellStyle name="Percent 16 9 8 2" xfId="2638" xr:uid="{00000000-0005-0000-0000-00005E090000}"/>
    <cellStyle name="Percent 16 9 9" xfId="1510" xr:uid="{00000000-0005-0000-0000-00005F090000}"/>
    <cellStyle name="Percent 16 9 9 2" xfId="2639" xr:uid="{00000000-0005-0000-0000-000060090000}"/>
    <cellStyle name="Percent 17" xfId="1511" xr:uid="{00000000-0005-0000-0000-000061090000}"/>
    <cellStyle name="Percent 17 2" xfId="2640" xr:uid="{00000000-0005-0000-0000-000062090000}"/>
    <cellStyle name="Percent 2" xfId="1512" xr:uid="{00000000-0005-0000-0000-000063090000}"/>
    <cellStyle name="Percent 2 10" xfId="1513" xr:uid="{00000000-0005-0000-0000-000064090000}"/>
    <cellStyle name="Percent 2 10 2" xfId="1514" xr:uid="{00000000-0005-0000-0000-000065090000}"/>
    <cellStyle name="Percent 2 10 2 2" xfId="2643" xr:uid="{00000000-0005-0000-0000-000066090000}"/>
    <cellStyle name="Percent 2 10 3" xfId="1515" xr:uid="{00000000-0005-0000-0000-000067090000}"/>
    <cellStyle name="Percent 2 10 3 2" xfId="2644" xr:uid="{00000000-0005-0000-0000-000068090000}"/>
    <cellStyle name="Percent 2 10 4" xfId="1516" xr:uid="{00000000-0005-0000-0000-000069090000}"/>
    <cellStyle name="Percent 2 10 4 2" xfId="2645" xr:uid="{00000000-0005-0000-0000-00006A090000}"/>
    <cellStyle name="Percent 2 10 5" xfId="1517" xr:uid="{00000000-0005-0000-0000-00006B090000}"/>
    <cellStyle name="Percent 2 10 5 2" xfId="2646" xr:uid="{00000000-0005-0000-0000-00006C090000}"/>
    <cellStyle name="Percent 2 10 6" xfId="1518" xr:uid="{00000000-0005-0000-0000-00006D090000}"/>
    <cellStyle name="Percent 2 10 6 2" xfId="2647" xr:uid="{00000000-0005-0000-0000-00006E090000}"/>
    <cellStyle name="Percent 2 10 7" xfId="1519" xr:uid="{00000000-0005-0000-0000-00006F090000}"/>
    <cellStyle name="Percent 2 10 7 2" xfId="2648" xr:uid="{00000000-0005-0000-0000-000070090000}"/>
    <cellStyle name="Percent 2 10 8" xfId="1520" xr:uid="{00000000-0005-0000-0000-000071090000}"/>
    <cellStyle name="Percent 2 10 8 2" xfId="2649" xr:uid="{00000000-0005-0000-0000-000072090000}"/>
    <cellStyle name="Percent 2 10 9" xfId="2642" xr:uid="{00000000-0005-0000-0000-000073090000}"/>
    <cellStyle name="Percent 2 11" xfId="1521" xr:uid="{00000000-0005-0000-0000-000074090000}"/>
    <cellStyle name="Percent 2 11 2" xfId="1522" xr:uid="{00000000-0005-0000-0000-000075090000}"/>
    <cellStyle name="Percent 2 11 2 2" xfId="2651" xr:uid="{00000000-0005-0000-0000-000076090000}"/>
    <cellStyle name="Percent 2 11 3" xfId="1523" xr:uid="{00000000-0005-0000-0000-000077090000}"/>
    <cellStyle name="Percent 2 11 3 2" xfId="2652" xr:uid="{00000000-0005-0000-0000-000078090000}"/>
    <cellStyle name="Percent 2 11 4" xfId="1524" xr:uid="{00000000-0005-0000-0000-000079090000}"/>
    <cellStyle name="Percent 2 11 4 2" xfId="2653" xr:uid="{00000000-0005-0000-0000-00007A090000}"/>
    <cellStyle name="Percent 2 11 5" xfId="1525" xr:uid="{00000000-0005-0000-0000-00007B090000}"/>
    <cellStyle name="Percent 2 11 5 2" xfId="2654" xr:uid="{00000000-0005-0000-0000-00007C090000}"/>
    <cellStyle name="Percent 2 11 6" xfId="1526" xr:uid="{00000000-0005-0000-0000-00007D090000}"/>
    <cellStyle name="Percent 2 11 6 2" xfId="2655" xr:uid="{00000000-0005-0000-0000-00007E090000}"/>
    <cellStyle name="Percent 2 11 7" xfId="1527" xr:uid="{00000000-0005-0000-0000-00007F090000}"/>
    <cellStyle name="Percent 2 11 7 2" xfId="2656" xr:uid="{00000000-0005-0000-0000-000080090000}"/>
    <cellStyle name="Percent 2 11 8" xfId="1528" xr:uid="{00000000-0005-0000-0000-000081090000}"/>
    <cellStyle name="Percent 2 11 8 2" xfId="2657" xr:uid="{00000000-0005-0000-0000-000082090000}"/>
    <cellStyle name="Percent 2 11 9" xfId="2650" xr:uid="{00000000-0005-0000-0000-000083090000}"/>
    <cellStyle name="Percent 2 12" xfId="1529" xr:uid="{00000000-0005-0000-0000-000084090000}"/>
    <cellStyle name="Percent 2 12 2" xfId="2658" xr:uid="{00000000-0005-0000-0000-000085090000}"/>
    <cellStyle name="Percent 2 13" xfId="1530" xr:uid="{00000000-0005-0000-0000-000086090000}"/>
    <cellStyle name="Percent 2 13 2" xfId="2659" xr:uid="{00000000-0005-0000-0000-000087090000}"/>
    <cellStyle name="Percent 2 14" xfId="1531" xr:uid="{00000000-0005-0000-0000-000088090000}"/>
    <cellStyle name="Percent 2 14 2" xfId="2660" xr:uid="{00000000-0005-0000-0000-000089090000}"/>
    <cellStyle name="Percent 2 15" xfId="1532" xr:uid="{00000000-0005-0000-0000-00008A090000}"/>
    <cellStyle name="Percent 2 15 2" xfId="2661" xr:uid="{00000000-0005-0000-0000-00008B090000}"/>
    <cellStyle name="Percent 2 16" xfId="1533" xr:uid="{00000000-0005-0000-0000-00008C090000}"/>
    <cellStyle name="Percent 2 16 2" xfId="2662" xr:uid="{00000000-0005-0000-0000-00008D090000}"/>
    <cellStyle name="Percent 2 17" xfId="1534" xr:uid="{00000000-0005-0000-0000-00008E090000}"/>
    <cellStyle name="Percent 2 17 2" xfId="2663" xr:uid="{00000000-0005-0000-0000-00008F090000}"/>
    <cellStyle name="Percent 2 18" xfId="1535" xr:uid="{00000000-0005-0000-0000-000090090000}"/>
    <cellStyle name="Percent 2 18 2" xfId="2664" xr:uid="{00000000-0005-0000-0000-000091090000}"/>
    <cellStyle name="Percent 2 19" xfId="2641" xr:uid="{00000000-0005-0000-0000-000092090000}"/>
    <cellStyle name="Percent 2 2" xfId="1536" xr:uid="{00000000-0005-0000-0000-000093090000}"/>
    <cellStyle name="Percent 2 2 2" xfId="1537" xr:uid="{00000000-0005-0000-0000-000094090000}"/>
    <cellStyle name="Percent 2 2 2 2" xfId="2666" xr:uid="{00000000-0005-0000-0000-000095090000}"/>
    <cellStyle name="Percent 2 2 3" xfId="1538" xr:uid="{00000000-0005-0000-0000-000096090000}"/>
    <cellStyle name="Percent 2 2 3 2" xfId="2667" xr:uid="{00000000-0005-0000-0000-000097090000}"/>
    <cellStyle name="Percent 2 2 4" xfId="1539" xr:uid="{00000000-0005-0000-0000-000098090000}"/>
    <cellStyle name="Percent 2 2 4 2" xfId="2668" xr:uid="{00000000-0005-0000-0000-000099090000}"/>
    <cellStyle name="Percent 2 2 5" xfId="1540" xr:uid="{00000000-0005-0000-0000-00009A090000}"/>
    <cellStyle name="Percent 2 2 5 2" xfId="2669" xr:uid="{00000000-0005-0000-0000-00009B090000}"/>
    <cellStyle name="Percent 2 2 6" xfId="1541" xr:uid="{00000000-0005-0000-0000-00009C090000}"/>
    <cellStyle name="Percent 2 2 6 2" xfId="2670" xr:uid="{00000000-0005-0000-0000-00009D090000}"/>
    <cellStyle name="Percent 2 2 7" xfId="1542" xr:uid="{00000000-0005-0000-0000-00009E090000}"/>
    <cellStyle name="Percent 2 2 7 2" xfId="2671" xr:uid="{00000000-0005-0000-0000-00009F090000}"/>
    <cellStyle name="Percent 2 2 8" xfId="1543" xr:uid="{00000000-0005-0000-0000-0000A0090000}"/>
    <cellStyle name="Percent 2 2 8 2" xfId="2672" xr:uid="{00000000-0005-0000-0000-0000A1090000}"/>
    <cellStyle name="Percent 2 2 9" xfId="2665" xr:uid="{00000000-0005-0000-0000-0000A2090000}"/>
    <cellStyle name="Percent 2 3" xfId="1544" xr:uid="{00000000-0005-0000-0000-0000A3090000}"/>
    <cellStyle name="Percent 2 3 2" xfId="1545" xr:uid="{00000000-0005-0000-0000-0000A4090000}"/>
    <cellStyle name="Percent 2 3 2 2" xfId="2674" xr:uid="{00000000-0005-0000-0000-0000A5090000}"/>
    <cellStyle name="Percent 2 3 3" xfId="1546" xr:uid="{00000000-0005-0000-0000-0000A6090000}"/>
    <cellStyle name="Percent 2 3 3 2" xfId="2675" xr:uid="{00000000-0005-0000-0000-0000A7090000}"/>
    <cellStyle name="Percent 2 3 4" xfId="1547" xr:uid="{00000000-0005-0000-0000-0000A8090000}"/>
    <cellStyle name="Percent 2 3 4 2" xfId="2676" xr:uid="{00000000-0005-0000-0000-0000A9090000}"/>
    <cellStyle name="Percent 2 3 5" xfId="1548" xr:uid="{00000000-0005-0000-0000-0000AA090000}"/>
    <cellStyle name="Percent 2 3 5 2" xfId="2677" xr:uid="{00000000-0005-0000-0000-0000AB090000}"/>
    <cellStyle name="Percent 2 3 6" xfId="1549" xr:uid="{00000000-0005-0000-0000-0000AC090000}"/>
    <cellStyle name="Percent 2 3 6 2" xfId="2678" xr:uid="{00000000-0005-0000-0000-0000AD090000}"/>
    <cellStyle name="Percent 2 3 7" xfId="1550" xr:uid="{00000000-0005-0000-0000-0000AE090000}"/>
    <cellStyle name="Percent 2 3 7 2" xfId="2679" xr:uid="{00000000-0005-0000-0000-0000AF090000}"/>
    <cellStyle name="Percent 2 3 8" xfId="1551" xr:uid="{00000000-0005-0000-0000-0000B0090000}"/>
    <cellStyle name="Percent 2 3 8 2" xfId="2680" xr:uid="{00000000-0005-0000-0000-0000B1090000}"/>
    <cellStyle name="Percent 2 3 9" xfId="2673" xr:uid="{00000000-0005-0000-0000-0000B2090000}"/>
    <cellStyle name="Percent 2 4" xfId="1552" xr:uid="{00000000-0005-0000-0000-0000B3090000}"/>
    <cellStyle name="Percent 2 4 2" xfId="1553" xr:uid="{00000000-0005-0000-0000-0000B4090000}"/>
    <cellStyle name="Percent 2 4 2 2" xfId="2682" xr:uid="{00000000-0005-0000-0000-0000B5090000}"/>
    <cellStyle name="Percent 2 4 3" xfId="1554" xr:uid="{00000000-0005-0000-0000-0000B6090000}"/>
    <cellStyle name="Percent 2 4 3 2" xfId="2683" xr:uid="{00000000-0005-0000-0000-0000B7090000}"/>
    <cellStyle name="Percent 2 4 4" xfId="1555" xr:uid="{00000000-0005-0000-0000-0000B8090000}"/>
    <cellStyle name="Percent 2 4 4 2" xfId="2684" xr:uid="{00000000-0005-0000-0000-0000B9090000}"/>
    <cellStyle name="Percent 2 4 5" xfId="1556" xr:uid="{00000000-0005-0000-0000-0000BA090000}"/>
    <cellStyle name="Percent 2 4 5 2" xfId="2685" xr:uid="{00000000-0005-0000-0000-0000BB090000}"/>
    <cellStyle name="Percent 2 4 6" xfId="1557" xr:uid="{00000000-0005-0000-0000-0000BC090000}"/>
    <cellStyle name="Percent 2 4 6 2" xfId="2686" xr:uid="{00000000-0005-0000-0000-0000BD090000}"/>
    <cellStyle name="Percent 2 4 7" xfId="1558" xr:uid="{00000000-0005-0000-0000-0000BE090000}"/>
    <cellStyle name="Percent 2 4 7 2" xfId="2687" xr:uid="{00000000-0005-0000-0000-0000BF090000}"/>
    <cellStyle name="Percent 2 4 8" xfId="1559" xr:uid="{00000000-0005-0000-0000-0000C0090000}"/>
    <cellStyle name="Percent 2 4 8 2" xfId="2688" xr:uid="{00000000-0005-0000-0000-0000C1090000}"/>
    <cellStyle name="Percent 2 4 9" xfId="2681" xr:uid="{00000000-0005-0000-0000-0000C2090000}"/>
    <cellStyle name="Percent 2 5" xfId="1560" xr:uid="{00000000-0005-0000-0000-0000C3090000}"/>
    <cellStyle name="Percent 2 5 2" xfId="1561" xr:uid="{00000000-0005-0000-0000-0000C4090000}"/>
    <cellStyle name="Percent 2 5 2 2" xfId="2690" xr:uid="{00000000-0005-0000-0000-0000C5090000}"/>
    <cellStyle name="Percent 2 5 3" xfId="1562" xr:uid="{00000000-0005-0000-0000-0000C6090000}"/>
    <cellStyle name="Percent 2 5 3 2" xfId="2691" xr:uid="{00000000-0005-0000-0000-0000C7090000}"/>
    <cellStyle name="Percent 2 5 4" xfId="1563" xr:uid="{00000000-0005-0000-0000-0000C8090000}"/>
    <cellStyle name="Percent 2 5 4 2" xfId="2692" xr:uid="{00000000-0005-0000-0000-0000C9090000}"/>
    <cellStyle name="Percent 2 5 5" xfId="1564" xr:uid="{00000000-0005-0000-0000-0000CA090000}"/>
    <cellStyle name="Percent 2 5 5 2" xfId="2693" xr:uid="{00000000-0005-0000-0000-0000CB090000}"/>
    <cellStyle name="Percent 2 5 6" xfId="1565" xr:uid="{00000000-0005-0000-0000-0000CC090000}"/>
    <cellStyle name="Percent 2 5 6 2" xfId="2694" xr:uid="{00000000-0005-0000-0000-0000CD090000}"/>
    <cellStyle name="Percent 2 5 7" xfId="1566" xr:uid="{00000000-0005-0000-0000-0000CE090000}"/>
    <cellStyle name="Percent 2 5 7 2" xfId="2695" xr:uid="{00000000-0005-0000-0000-0000CF090000}"/>
    <cellStyle name="Percent 2 5 8" xfId="1567" xr:uid="{00000000-0005-0000-0000-0000D0090000}"/>
    <cellStyle name="Percent 2 5 8 2" xfId="2696" xr:uid="{00000000-0005-0000-0000-0000D1090000}"/>
    <cellStyle name="Percent 2 5 9" xfId="2689" xr:uid="{00000000-0005-0000-0000-0000D2090000}"/>
    <cellStyle name="Percent 2 6" xfId="1568" xr:uid="{00000000-0005-0000-0000-0000D3090000}"/>
    <cellStyle name="Percent 2 6 2" xfId="1569" xr:uid="{00000000-0005-0000-0000-0000D4090000}"/>
    <cellStyle name="Percent 2 6 2 2" xfId="2698" xr:uid="{00000000-0005-0000-0000-0000D5090000}"/>
    <cellStyle name="Percent 2 6 3" xfId="1570" xr:uid="{00000000-0005-0000-0000-0000D6090000}"/>
    <cellStyle name="Percent 2 6 3 2" xfId="2699" xr:uid="{00000000-0005-0000-0000-0000D7090000}"/>
    <cellStyle name="Percent 2 6 4" xfId="1571" xr:uid="{00000000-0005-0000-0000-0000D8090000}"/>
    <cellStyle name="Percent 2 6 4 2" xfId="2700" xr:uid="{00000000-0005-0000-0000-0000D9090000}"/>
    <cellStyle name="Percent 2 6 5" xfId="1572" xr:uid="{00000000-0005-0000-0000-0000DA090000}"/>
    <cellStyle name="Percent 2 6 5 2" xfId="2701" xr:uid="{00000000-0005-0000-0000-0000DB090000}"/>
    <cellStyle name="Percent 2 6 6" xfId="1573" xr:uid="{00000000-0005-0000-0000-0000DC090000}"/>
    <cellStyle name="Percent 2 6 6 2" xfId="2702" xr:uid="{00000000-0005-0000-0000-0000DD090000}"/>
    <cellStyle name="Percent 2 6 7" xfId="1574" xr:uid="{00000000-0005-0000-0000-0000DE090000}"/>
    <cellStyle name="Percent 2 6 7 2" xfId="2703" xr:uid="{00000000-0005-0000-0000-0000DF090000}"/>
    <cellStyle name="Percent 2 6 8" xfId="1575" xr:uid="{00000000-0005-0000-0000-0000E0090000}"/>
    <cellStyle name="Percent 2 6 8 2" xfId="2704" xr:uid="{00000000-0005-0000-0000-0000E1090000}"/>
    <cellStyle name="Percent 2 6 9" xfId="2697" xr:uid="{00000000-0005-0000-0000-0000E2090000}"/>
    <cellStyle name="Percent 2 7" xfId="1576" xr:uid="{00000000-0005-0000-0000-0000E3090000}"/>
    <cellStyle name="Percent 2 7 2" xfId="1577" xr:uid="{00000000-0005-0000-0000-0000E4090000}"/>
    <cellStyle name="Percent 2 7 2 2" xfId="2706" xr:uid="{00000000-0005-0000-0000-0000E5090000}"/>
    <cellStyle name="Percent 2 7 3" xfId="1578" xr:uid="{00000000-0005-0000-0000-0000E6090000}"/>
    <cellStyle name="Percent 2 7 3 2" xfId="2707" xr:uid="{00000000-0005-0000-0000-0000E7090000}"/>
    <cellStyle name="Percent 2 7 4" xfId="1579" xr:uid="{00000000-0005-0000-0000-0000E8090000}"/>
    <cellStyle name="Percent 2 7 4 2" xfId="2708" xr:uid="{00000000-0005-0000-0000-0000E9090000}"/>
    <cellStyle name="Percent 2 7 5" xfId="1580" xr:uid="{00000000-0005-0000-0000-0000EA090000}"/>
    <cellStyle name="Percent 2 7 5 2" xfId="2709" xr:uid="{00000000-0005-0000-0000-0000EB090000}"/>
    <cellStyle name="Percent 2 7 6" xfId="1581" xr:uid="{00000000-0005-0000-0000-0000EC090000}"/>
    <cellStyle name="Percent 2 7 6 2" xfId="2710" xr:uid="{00000000-0005-0000-0000-0000ED090000}"/>
    <cellStyle name="Percent 2 7 7" xfId="1582" xr:uid="{00000000-0005-0000-0000-0000EE090000}"/>
    <cellStyle name="Percent 2 7 7 2" xfId="2711" xr:uid="{00000000-0005-0000-0000-0000EF090000}"/>
    <cellStyle name="Percent 2 7 8" xfId="1583" xr:uid="{00000000-0005-0000-0000-0000F0090000}"/>
    <cellStyle name="Percent 2 7 8 2" xfId="2712" xr:uid="{00000000-0005-0000-0000-0000F1090000}"/>
    <cellStyle name="Percent 2 7 9" xfId="2705" xr:uid="{00000000-0005-0000-0000-0000F2090000}"/>
    <cellStyle name="Percent 2 8" xfId="1584" xr:uid="{00000000-0005-0000-0000-0000F3090000}"/>
    <cellStyle name="Percent 2 8 2" xfId="1585" xr:uid="{00000000-0005-0000-0000-0000F4090000}"/>
    <cellStyle name="Percent 2 8 2 2" xfId="2714" xr:uid="{00000000-0005-0000-0000-0000F5090000}"/>
    <cellStyle name="Percent 2 8 3" xfId="1586" xr:uid="{00000000-0005-0000-0000-0000F6090000}"/>
    <cellStyle name="Percent 2 8 3 2" xfId="2715" xr:uid="{00000000-0005-0000-0000-0000F7090000}"/>
    <cellStyle name="Percent 2 8 4" xfId="1587" xr:uid="{00000000-0005-0000-0000-0000F8090000}"/>
    <cellStyle name="Percent 2 8 4 2" xfId="2716" xr:uid="{00000000-0005-0000-0000-0000F9090000}"/>
    <cellStyle name="Percent 2 8 5" xfId="1588" xr:uid="{00000000-0005-0000-0000-0000FA090000}"/>
    <cellStyle name="Percent 2 8 5 2" xfId="2717" xr:uid="{00000000-0005-0000-0000-0000FB090000}"/>
    <cellStyle name="Percent 2 8 6" xfId="1589" xr:uid="{00000000-0005-0000-0000-0000FC090000}"/>
    <cellStyle name="Percent 2 8 6 2" xfId="2718" xr:uid="{00000000-0005-0000-0000-0000FD090000}"/>
    <cellStyle name="Percent 2 8 7" xfId="1590" xr:uid="{00000000-0005-0000-0000-0000FE090000}"/>
    <cellStyle name="Percent 2 8 7 2" xfId="2719" xr:uid="{00000000-0005-0000-0000-0000FF090000}"/>
    <cellStyle name="Percent 2 8 8" xfId="1591" xr:uid="{00000000-0005-0000-0000-0000000A0000}"/>
    <cellStyle name="Percent 2 8 8 2" xfId="2720" xr:uid="{00000000-0005-0000-0000-0000010A0000}"/>
    <cellStyle name="Percent 2 8 9" xfId="2713" xr:uid="{00000000-0005-0000-0000-0000020A0000}"/>
    <cellStyle name="Percent 2 9" xfId="1592" xr:uid="{00000000-0005-0000-0000-0000030A0000}"/>
    <cellStyle name="Percent 2 9 2" xfId="1593" xr:uid="{00000000-0005-0000-0000-0000040A0000}"/>
    <cellStyle name="Percent 2 9 2 2" xfId="2722" xr:uid="{00000000-0005-0000-0000-0000050A0000}"/>
    <cellStyle name="Percent 2 9 3" xfId="1594" xr:uid="{00000000-0005-0000-0000-0000060A0000}"/>
    <cellStyle name="Percent 2 9 3 2" xfId="2723" xr:uid="{00000000-0005-0000-0000-0000070A0000}"/>
    <cellStyle name="Percent 2 9 4" xfId="1595" xr:uid="{00000000-0005-0000-0000-0000080A0000}"/>
    <cellStyle name="Percent 2 9 4 2" xfId="2724" xr:uid="{00000000-0005-0000-0000-0000090A0000}"/>
    <cellStyle name="Percent 2 9 5" xfId="1596" xr:uid="{00000000-0005-0000-0000-00000A0A0000}"/>
    <cellStyle name="Percent 2 9 5 2" xfId="2725" xr:uid="{00000000-0005-0000-0000-00000B0A0000}"/>
    <cellStyle name="Percent 2 9 6" xfId="1597" xr:uid="{00000000-0005-0000-0000-00000C0A0000}"/>
    <cellStyle name="Percent 2 9 6 2" xfId="2726" xr:uid="{00000000-0005-0000-0000-00000D0A0000}"/>
    <cellStyle name="Percent 2 9 7" xfId="1598" xr:uid="{00000000-0005-0000-0000-00000E0A0000}"/>
    <cellStyle name="Percent 2 9 7 2" xfId="2727" xr:uid="{00000000-0005-0000-0000-00000F0A0000}"/>
    <cellStyle name="Percent 2 9 8" xfId="1599" xr:uid="{00000000-0005-0000-0000-0000100A0000}"/>
    <cellStyle name="Percent 2 9 8 2" xfId="2728" xr:uid="{00000000-0005-0000-0000-0000110A0000}"/>
    <cellStyle name="Percent 2 9 9" xfId="2721" xr:uid="{00000000-0005-0000-0000-0000120A0000}"/>
    <cellStyle name="Percent 3" xfId="1600" xr:uid="{00000000-0005-0000-0000-0000130A0000}"/>
    <cellStyle name="Percent 3 10" xfId="3146" xr:uid="{9108708E-8900-488B-898A-EB0A148A0584}"/>
    <cellStyle name="Percent 3 2" xfId="1601" xr:uid="{00000000-0005-0000-0000-0000140A0000}"/>
    <cellStyle name="Percent 3 2 2" xfId="2730" xr:uid="{00000000-0005-0000-0000-0000150A0000}"/>
    <cellStyle name="Percent 3 3" xfId="1602" xr:uid="{00000000-0005-0000-0000-0000160A0000}"/>
    <cellStyle name="Percent 3 3 2" xfId="2731" xr:uid="{00000000-0005-0000-0000-0000170A0000}"/>
    <cellStyle name="Percent 3 4" xfId="1603" xr:uid="{00000000-0005-0000-0000-0000180A0000}"/>
    <cellStyle name="Percent 3 4 2" xfId="2732" xr:uid="{00000000-0005-0000-0000-0000190A0000}"/>
    <cellStyle name="Percent 3 5" xfId="1604" xr:uid="{00000000-0005-0000-0000-00001A0A0000}"/>
    <cellStyle name="Percent 3 5 2" xfId="2733" xr:uid="{00000000-0005-0000-0000-00001B0A0000}"/>
    <cellStyle name="Percent 3 6" xfId="1605" xr:uid="{00000000-0005-0000-0000-00001C0A0000}"/>
    <cellStyle name="Percent 3 6 2" xfId="2734" xr:uid="{00000000-0005-0000-0000-00001D0A0000}"/>
    <cellStyle name="Percent 3 7" xfId="1606" xr:uid="{00000000-0005-0000-0000-00001E0A0000}"/>
    <cellStyle name="Percent 3 7 2" xfId="2735" xr:uid="{00000000-0005-0000-0000-00001F0A0000}"/>
    <cellStyle name="Percent 3 8" xfId="1607" xr:uid="{00000000-0005-0000-0000-0000200A0000}"/>
    <cellStyle name="Percent 3 8 2" xfId="2736" xr:uid="{00000000-0005-0000-0000-0000210A0000}"/>
    <cellStyle name="Percent 3 9" xfId="2729" xr:uid="{00000000-0005-0000-0000-0000220A0000}"/>
    <cellStyle name="Percent 3 9 2" xfId="3438" xr:uid="{7EF17DE7-1153-4E45-A626-B7AB36064A3F}"/>
    <cellStyle name="Percent 4" xfId="1608" xr:uid="{00000000-0005-0000-0000-0000230A0000}"/>
    <cellStyle name="Percent 4 10" xfId="1609" xr:uid="{00000000-0005-0000-0000-0000240A0000}"/>
    <cellStyle name="Percent 4 10 2" xfId="2738" xr:uid="{00000000-0005-0000-0000-0000250A0000}"/>
    <cellStyle name="Percent 4 11" xfId="1610" xr:uid="{00000000-0005-0000-0000-0000260A0000}"/>
    <cellStyle name="Percent 4 11 2" xfId="2739" xr:uid="{00000000-0005-0000-0000-0000270A0000}"/>
    <cellStyle name="Percent 4 12" xfId="1611" xr:uid="{00000000-0005-0000-0000-0000280A0000}"/>
    <cellStyle name="Percent 4 12 2" xfId="2740" xr:uid="{00000000-0005-0000-0000-0000290A0000}"/>
    <cellStyle name="Percent 4 13" xfId="1612" xr:uid="{00000000-0005-0000-0000-00002A0A0000}"/>
    <cellStyle name="Percent 4 13 2" xfId="2741" xr:uid="{00000000-0005-0000-0000-00002B0A0000}"/>
    <cellStyle name="Percent 4 14" xfId="2737" xr:uid="{00000000-0005-0000-0000-00002C0A0000}"/>
    <cellStyle name="Percent 4 2" xfId="1613" xr:uid="{00000000-0005-0000-0000-00002D0A0000}"/>
    <cellStyle name="Percent 4 2 2" xfId="1614" xr:uid="{00000000-0005-0000-0000-00002E0A0000}"/>
    <cellStyle name="Percent 4 2 2 2" xfId="2743" xr:uid="{00000000-0005-0000-0000-00002F0A0000}"/>
    <cellStyle name="Percent 4 2 3" xfId="1615" xr:uid="{00000000-0005-0000-0000-0000300A0000}"/>
    <cellStyle name="Percent 4 2 3 2" xfId="2744" xr:uid="{00000000-0005-0000-0000-0000310A0000}"/>
    <cellStyle name="Percent 4 2 4" xfId="1616" xr:uid="{00000000-0005-0000-0000-0000320A0000}"/>
    <cellStyle name="Percent 4 2 4 2" xfId="2745" xr:uid="{00000000-0005-0000-0000-0000330A0000}"/>
    <cellStyle name="Percent 4 2 5" xfId="1617" xr:uid="{00000000-0005-0000-0000-0000340A0000}"/>
    <cellStyle name="Percent 4 2 5 2" xfId="2746" xr:uid="{00000000-0005-0000-0000-0000350A0000}"/>
    <cellStyle name="Percent 4 2 6" xfId="1618" xr:uid="{00000000-0005-0000-0000-0000360A0000}"/>
    <cellStyle name="Percent 4 2 6 2" xfId="2747" xr:uid="{00000000-0005-0000-0000-0000370A0000}"/>
    <cellStyle name="Percent 4 2 7" xfId="1619" xr:uid="{00000000-0005-0000-0000-0000380A0000}"/>
    <cellStyle name="Percent 4 2 7 2" xfId="2748" xr:uid="{00000000-0005-0000-0000-0000390A0000}"/>
    <cellStyle name="Percent 4 2 8" xfId="1620" xr:uid="{00000000-0005-0000-0000-00003A0A0000}"/>
    <cellStyle name="Percent 4 2 8 2" xfId="2749" xr:uid="{00000000-0005-0000-0000-00003B0A0000}"/>
    <cellStyle name="Percent 4 2 9" xfId="2742" xr:uid="{00000000-0005-0000-0000-00003C0A0000}"/>
    <cellStyle name="Percent 4 3" xfId="1621" xr:uid="{00000000-0005-0000-0000-00003D0A0000}"/>
    <cellStyle name="Percent 4 3 2" xfId="1622" xr:uid="{00000000-0005-0000-0000-00003E0A0000}"/>
    <cellStyle name="Percent 4 3 2 2" xfId="2751" xr:uid="{00000000-0005-0000-0000-00003F0A0000}"/>
    <cellStyle name="Percent 4 3 3" xfId="1623" xr:uid="{00000000-0005-0000-0000-0000400A0000}"/>
    <cellStyle name="Percent 4 3 3 2" xfId="2752" xr:uid="{00000000-0005-0000-0000-0000410A0000}"/>
    <cellStyle name="Percent 4 3 4" xfId="1624" xr:uid="{00000000-0005-0000-0000-0000420A0000}"/>
    <cellStyle name="Percent 4 3 4 2" xfId="2753" xr:uid="{00000000-0005-0000-0000-0000430A0000}"/>
    <cellStyle name="Percent 4 3 5" xfId="1625" xr:uid="{00000000-0005-0000-0000-0000440A0000}"/>
    <cellStyle name="Percent 4 3 5 2" xfId="2754" xr:uid="{00000000-0005-0000-0000-0000450A0000}"/>
    <cellStyle name="Percent 4 3 6" xfId="1626" xr:uid="{00000000-0005-0000-0000-0000460A0000}"/>
    <cellStyle name="Percent 4 3 6 2" xfId="2755" xr:uid="{00000000-0005-0000-0000-0000470A0000}"/>
    <cellStyle name="Percent 4 3 7" xfId="1627" xr:uid="{00000000-0005-0000-0000-0000480A0000}"/>
    <cellStyle name="Percent 4 3 7 2" xfId="2756" xr:uid="{00000000-0005-0000-0000-0000490A0000}"/>
    <cellStyle name="Percent 4 3 8" xfId="1628" xr:uid="{00000000-0005-0000-0000-00004A0A0000}"/>
    <cellStyle name="Percent 4 3 8 2" xfId="2757" xr:uid="{00000000-0005-0000-0000-00004B0A0000}"/>
    <cellStyle name="Percent 4 3 9" xfId="2750" xr:uid="{00000000-0005-0000-0000-00004C0A0000}"/>
    <cellStyle name="Percent 4 4" xfId="1629" xr:uid="{00000000-0005-0000-0000-00004D0A0000}"/>
    <cellStyle name="Percent 4 4 2" xfId="1630" xr:uid="{00000000-0005-0000-0000-00004E0A0000}"/>
    <cellStyle name="Percent 4 4 2 2" xfId="2759" xr:uid="{00000000-0005-0000-0000-00004F0A0000}"/>
    <cellStyle name="Percent 4 4 3" xfId="1631" xr:uid="{00000000-0005-0000-0000-0000500A0000}"/>
    <cellStyle name="Percent 4 4 3 2" xfId="2760" xr:uid="{00000000-0005-0000-0000-0000510A0000}"/>
    <cellStyle name="Percent 4 4 4" xfId="1632" xr:uid="{00000000-0005-0000-0000-0000520A0000}"/>
    <cellStyle name="Percent 4 4 4 2" xfId="2761" xr:uid="{00000000-0005-0000-0000-0000530A0000}"/>
    <cellStyle name="Percent 4 4 5" xfId="1633" xr:uid="{00000000-0005-0000-0000-0000540A0000}"/>
    <cellStyle name="Percent 4 4 5 2" xfId="2762" xr:uid="{00000000-0005-0000-0000-0000550A0000}"/>
    <cellStyle name="Percent 4 4 6" xfId="1634" xr:uid="{00000000-0005-0000-0000-0000560A0000}"/>
    <cellStyle name="Percent 4 4 6 2" xfId="2763" xr:uid="{00000000-0005-0000-0000-0000570A0000}"/>
    <cellStyle name="Percent 4 4 7" xfId="1635" xr:uid="{00000000-0005-0000-0000-0000580A0000}"/>
    <cellStyle name="Percent 4 4 7 2" xfId="2764" xr:uid="{00000000-0005-0000-0000-0000590A0000}"/>
    <cellStyle name="Percent 4 4 8" xfId="1636" xr:uid="{00000000-0005-0000-0000-00005A0A0000}"/>
    <cellStyle name="Percent 4 4 8 2" xfId="2765" xr:uid="{00000000-0005-0000-0000-00005B0A0000}"/>
    <cellStyle name="Percent 4 4 9" xfId="2758" xr:uid="{00000000-0005-0000-0000-00005C0A0000}"/>
    <cellStyle name="Percent 4 5" xfId="1637" xr:uid="{00000000-0005-0000-0000-00005D0A0000}"/>
    <cellStyle name="Percent 4 5 2" xfId="1638" xr:uid="{00000000-0005-0000-0000-00005E0A0000}"/>
    <cellStyle name="Percent 4 5 2 2" xfId="2767" xr:uid="{00000000-0005-0000-0000-00005F0A0000}"/>
    <cellStyle name="Percent 4 5 3" xfId="1639" xr:uid="{00000000-0005-0000-0000-0000600A0000}"/>
    <cellStyle name="Percent 4 5 3 2" xfId="2768" xr:uid="{00000000-0005-0000-0000-0000610A0000}"/>
    <cellStyle name="Percent 4 5 4" xfId="1640" xr:uid="{00000000-0005-0000-0000-0000620A0000}"/>
    <cellStyle name="Percent 4 5 4 2" xfId="2769" xr:uid="{00000000-0005-0000-0000-0000630A0000}"/>
    <cellStyle name="Percent 4 5 5" xfId="1641" xr:uid="{00000000-0005-0000-0000-0000640A0000}"/>
    <cellStyle name="Percent 4 5 5 2" xfId="2770" xr:uid="{00000000-0005-0000-0000-0000650A0000}"/>
    <cellStyle name="Percent 4 5 6" xfId="1642" xr:uid="{00000000-0005-0000-0000-0000660A0000}"/>
    <cellStyle name="Percent 4 5 6 2" xfId="2771" xr:uid="{00000000-0005-0000-0000-0000670A0000}"/>
    <cellStyle name="Percent 4 5 7" xfId="1643" xr:uid="{00000000-0005-0000-0000-0000680A0000}"/>
    <cellStyle name="Percent 4 5 7 2" xfId="2772" xr:uid="{00000000-0005-0000-0000-0000690A0000}"/>
    <cellStyle name="Percent 4 5 8" xfId="1644" xr:uid="{00000000-0005-0000-0000-00006A0A0000}"/>
    <cellStyle name="Percent 4 5 8 2" xfId="2773" xr:uid="{00000000-0005-0000-0000-00006B0A0000}"/>
    <cellStyle name="Percent 4 5 9" xfId="2766" xr:uid="{00000000-0005-0000-0000-00006C0A0000}"/>
    <cellStyle name="Percent 4 6" xfId="1645" xr:uid="{00000000-0005-0000-0000-00006D0A0000}"/>
    <cellStyle name="Percent 4 6 2" xfId="1646" xr:uid="{00000000-0005-0000-0000-00006E0A0000}"/>
    <cellStyle name="Percent 4 6 2 2" xfId="2775" xr:uid="{00000000-0005-0000-0000-00006F0A0000}"/>
    <cellStyle name="Percent 4 6 3" xfId="1647" xr:uid="{00000000-0005-0000-0000-0000700A0000}"/>
    <cellStyle name="Percent 4 6 3 2" xfId="2776" xr:uid="{00000000-0005-0000-0000-0000710A0000}"/>
    <cellStyle name="Percent 4 6 4" xfId="1648" xr:uid="{00000000-0005-0000-0000-0000720A0000}"/>
    <cellStyle name="Percent 4 6 4 2" xfId="2777" xr:uid="{00000000-0005-0000-0000-0000730A0000}"/>
    <cellStyle name="Percent 4 6 5" xfId="1649" xr:uid="{00000000-0005-0000-0000-0000740A0000}"/>
    <cellStyle name="Percent 4 6 5 2" xfId="2778" xr:uid="{00000000-0005-0000-0000-0000750A0000}"/>
    <cellStyle name="Percent 4 6 6" xfId="1650" xr:uid="{00000000-0005-0000-0000-0000760A0000}"/>
    <cellStyle name="Percent 4 6 6 2" xfId="2779" xr:uid="{00000000-0005-0000-0000-0000770A0000}"/>
    <cellStyle name="Percent 4 6 7" xfId="1651" xr:uid="{00000000-0005-0000-0000-0000780A0000}"/>
    <cellStyle name="Percent 4 6 7 2" xfId="2780" xr:uid="{00000000-0005-0000-0000-0000790A0000}"/>
    <cellStyle name="Percent 4 6 8" xfId="1652" xr:uid="{00000000-0005-0000-0000-00007A0A0000}"/>
    <cellStyle name="Percent 4 6 8 2" xfId="2781" xr:uid="{00000000-0005-0000-0000-00007B0A0000}"/>
    <cellStyle name="Percent 4 6 9" xfId="2774" xr:uid="{00000000-0005-0000-0000-00007C0A0000}"/>
    <cellStyle name="Percent 4 7" xfId="1653" xr:uid="{00000000-0005-0000-0000-00007D0A0000}"/>
    <cellStyle name="Percent 4 7 2" xfId="2782" xr:uid="{00000000-0005-0000-0000-00007E0A0000}"/>
    <cellStyle name="Percent 4 8" xfId="1654" xr:uid="{00000000-0005-0000-0000-00007F0A0000}"/>
    <cellStyle name="Percent 4 8 2" xfId="2783" xr:uid="{00000000-0005-0000-0000-0000800A0000}"/>
    <cellStyle name="Percent 4 9" xfId="1655" xr:uid="{00000000-0005-0000-0000-0000810A0000}"/>
    <cellStyle name="Percent 4 9 2" xfId="2784" xr:uid="{00000000-0005-0000-0000-0000820A0000}"/>
    <cellStyle name="Percent 5" xfId="1656" xr:uid="{00000000-0005-0000-0000-0000830A0000}"/>
    <cellStyle name="Percent 5 2" xfId="1657" xr:uid="{00000000-0005-0000-0000-0000840A0000}"/>
    <cellStyle name="Percent 5 2 2" xfId="2786" xr:uid="{00000000-0005-0000-0000-0000850A0000}"/>
    <cellStyle name="Percent 5 3" xfId="1658" xr:uid="{00000000-0005-0000-0000-0000860A0000}"/>
    <cellStyle name="Percent 5 3 2" xfId="2787" xr:uid="{00000000-0005-0000-0000-0000870A0000}"/>
    <cellStyle name="Percent 5 4" xfId="1659" xr:uid="{00000000-0005-0000-0000-0000880A0000}"/>
    <cellStyle name="Percent 5 4 2" xfId="2788" xr:uid="{00000000-0005-0000-0000-0000890A0000}"/>
    <cellStyle name="Percent 5 5" xfId="1660" xr:uid="{00000000-0005-0000-0000-00008A0A0000}"/>
    <cellStyle name="Percent 5 5 2" xfId="2789" xr:uid="{00000000-0005-0000-0000-00008B0A0000}"/>
    <cellStyle name="Percent 5 6" xfId="1661" xr:uid="{00000000-0005-0000-0000-00008C0A0000}"/>
    <cellStyle name="Percent 5 6 2" xfId="2790" xr:uid="{00000000-0005-0000-0000-00008D0A0000}"/>
    <cellStyle name="Percent 5 7" xfId="1662" xr:uid="{00000000-0005-0000-0000-00008E0A0000}"/>
    <cellStyle name="Percent 5 7 2" xfId="2791" xr:uid="{00000000-0005-0000-0000-00008F0A0000}"/>
    <cellStyle name="Percent 5 8" xfId="1663" xr:uid="{00000000-0005-0000-0000-0000900A0000}"/>
    <cellStyle name="Percent 5 8 2" xfId="2792" xr:uid="{00000000-0005-0000-0000-0000910A0000}"/>
    <cellStyle name="Percent 5 9" xfId="2785" xr:uid="{00000000-0005-0000-0000-0000920A0000}"/>
    <cellStyle name="Percent 6" xfId="1664" xr:uid="{00000000-0005-0000-0000-0000930A0000}"/>
    <cellStyle name="Percent 6 2" xfId="1665" xr:uid="{00000000-0005-0000-0000-0000940A0000}"/>
    <cellStyle name="Percent 6 2 2" xfId="2794" xr:uid="{00000000-0005-0000-0000-0000950A0000}"/>
    <cellStyle name="Percent 6 3" xfId="1666" xr:uid="{00000000-0005-0000-0000-0000960A0000}"/>
    <cellStyle name="Percent 6 3 2" xfId="2795" xr:uid="{00000000-0005-0000-0000-0000970A0000}"/>
    <cellStyle name="Percent 6 4" xfId="1667" xr:uid="{00000000-0005-0000-0000-0000980A0000}"/>
    <cellStyle name="Percent 6 4 2" xfId="2796" xr:uid="{00000000-0005-0000-0000-0000990A0000}"/>
    <cellStyle name="Percent 6 5" xfId="1668" xr:uid="{00000000-0005-0000-0000-00009A0A0000}"/>
    <cellStyle name="Percent 6 5 2" xfId="2797" xr:uid="{00000000-0005-0000-0000-00009B0A0000}"/>
    <cellStyle name="Percent 6 6" xfId="1669" xr:uid="{00000000-0005-0000-0000-00009C0A0000}"/>
    <cellStyle name="Percent 6 6 2" xfId="2798" xr:uid="{00000000-0005-0000-0000-00009D0A0000}"/>
    <cellStyle name="Percent 6 7" xfId="1670" xr:uid="{00000000-0005-0000-0000-00009E0A0000}"/>
    <cellStyle name="Percent 6 7 2" xfId="2799" xr:uid="{00000000-0005-0000-0000-00009F0A0000}"/>
    <cellStyle name="Percent 6 8" xfId="1671" xr:uid="{00000000-0005-0000-0000-0000A00A0000}"/>
    <cellStyle name="Percent 6 8 2" xfId="2800" xr:uid="{00000000-0005-0000-0000-0000A10A0000}"/>
    <cellStyle name="Percent 6 9" xfId="2793" xr:uid="{00000000-0005-0000-0000-0000A20A0000}"/>
    <cellStyle name="Percent 7" xfId="1672" xr:uid="{00000000-0005-0000-0000-0000A30A0000}"/>
    <cellStyle name="Percent 7 2" xfId="1673" xr:uid="{00000000-0005-0000-0000-0000A40A0000}"/>
    <cellStyle name="Percent 7 2 2" xfId="2802" xr:uid="{00000000-0005-0000-0000-0000A50A0000}"/>
    <cellStyle name="Percent 7 3" xfId="1674" xr:uid="{00000000-0005-0000-0000-0000A60A0000}"/>
    <cellStyle name="Percent 7 3 2" xfId="2803" xr:uid="{00000000-0005-0000-0000-0000A70A0000}"/>
    <cellStyle name="Percent 7 4" xfId="1675" xr:uid="{00000000-0005-0000-0000-0000A80A0000}"/>
    <cellStyle name="Percent 7 4 2" xfId="2804" xr:uid="{00000000-0005-0000-0000-0000A90A0000}"/>
    <cellStyle name="Percent 7 5" xfId="1676" xr:uid="{00000000-0005-0000-0000-0000AA0A0000}"/>
    <cellStyle name="Percent 7 5 2" xfId="2805" xr:uid="{00000000-0005-0000-0000-0000AB0A0000}"/>
    <cellStyle name="Percent 7 6" xfId="1677" xr:uid="{00000000-0005-0000-0000-0000AC0A0000}"/>
    <cellStyle name="Percent 7 6 2" xfId="2806" xr:uid="{00000000-0005-0000-0000-0000AD0A0000}"/>
    <cellStyle name="Percent 7 7" xfId="1678" xr:uid="{00000000-0005-0000-0000-0000AE0A0000}"/>
    <cellStyle name="Percent 7 7 2" xfId="2807" xr:uid="{00000000-0005-0000-0000-0000AF0A0000}"/>
    <cellStyle name="Percent 7 8" xfId="1679" xr:uid="{00000000-0005-0000-0000-0000B00A0000}"/>
    <cellStyle name="Percent 7 8 2" xfId="2808" xr:uid="{00000000-0005-0000-0000-0000B10A0000}"/>
    <cellStyle name="Percent 7 9" xfId="2801" xr:uid="{00000000-0005-0000-0000-0000B20A0000}"/>
    <cellStyle name="Percent 8" xfId="1680" xr:uid="{00000000-0005-0000-0000-0000B30A0000}"/>
    <cellStyle name="Percent 8 2" xfId="1681" xr:uid="{00000000-0005-0000-0000-0000B40A0000}"/>
    <cellStyle name="Percent 8 2 2" xfId="2810" xr:uid="{00000000-0005-0000-0000-0000B50A0000}"/>
    <cellStyle name="Percent 8 3" xfId="1682" xr:uid="{00000000-0005-0000-0000-0000B60A0000}"/>
    <cellStyle name="Percent 8 3 2" xfId="2811" xr:uid="{00000000-0005-0000-0000-0000B70A0000}"/>
    <cellStyle name="Percent 8 4" xfId="1683" xr:uid="{00000000-0005-0000-0000-0000B80A0000}"/>
    <cellStyle name="Percent 8 4 2" xfId="2812" xr:uid="{00000000-0005-0000-0000-0000B90A0000}"/>
    <cellStyle name="Percent 8 5" xfId="1684" xr:uid="{00000000-0005-0000-0000-0000BA0A0000}"/>
    <cellStyle name="Percent 8 5 2" xfId="2813" xr:uid="{00000000-0005-0000-0000-0000BB0A0000}"/>
    <cellStyle name="Percent 8 6" xfId="1685" xr:uid="{00000000-0005-0000-0000-0000BC0A0000}"/>
    <cellStyle name="Percent 8 6 2" xfId="2814" xr:uid="{00000000-0005-0000-0000-0000BD0A0000}"/>
    <cellStyle name="Percent 8 7" xfId="1686" xr:uid="{00000000-0005-0000-0000-0000BE0A0000}"/>
    <cellStyle name="Percent 8 7 2" xfId="2815" xr:uid="{00000000-0005-0000-0000-0000BF0A0000}"/>
    <cellStyle name="Percent 8 8" xfId="1687" xr:uid="{00000000-0005-0000-0000-0000C00A0000}"/>
    <cellStyle name="Percent 8 8 2" xfId="2816" xr:uid="{00000000-0005-0000-0000-0000C10A0000}"/>
    <cellStyle name="Percent 8 9" xfId="2809" xr:uid="{00000000-0005-0000-0000-0000C20A0000}"/>
    <cellStyle name="Percent 9" xfId="1688" xr:uid="{00000000-0005-0000-0000-0000C30A0000}"/>
    <cellStyle name="Percent 9 2" xfId="1689" xr:uid="{00000000-0005-0000-0000-0000C40A0000}"/>
    <cellStyle name="Percent 9 2 2" xfId="2818" xr:uid="{00000000-0005-0000-0000-0000C50A0000}"/>
    <cellStyle name="Percent 9 3" xfId="1690" xr:uid="{00000000-0005-0000-0000-0000C60A0000}"/>
    <cellStyle name="Percent 9 3 2" xfId="2819" xr:uid="{00000000-0005-0000-0000-0000C70A0000}"/>
    <cellStyle name="Percent 9 4" xfId="1691" xr:uid="{00000000-0005-0000-0000-0000C80A0000}"/>
    <cellStyle name="Percent 9 4 2" xfId="2820" xr:uid="{00000000-0005-0000-0000-0000C90A0000}"/>
    <cellStyle name="Percent 9 5" xfId="1692" xr:uid="{00000000-0005-0000-0000-0000CA0A0000}"/>
    <cellStyle name="Percent 9 5 2" xfId="2821" xr:uid="{00000000-0005-0000-0000-0000CB0A0000}"/>
    <cellStyle name="Percent 9 6" xfId="1693" xr:uid="{00000000-0005-0000-0000-0000CC0A0000}"/>
    <cellStyle name="Percent 9 6 2" xfId="2822" xr:uid="{00000000-0005-0000-0000-0000CD0A0000}"/>
    <cellStyle name="Percent 9 7" xfId="1694" xr:uid="{00000000-0005-0000-0000-0000CE0A0000}"/>
    <cellStyle name="Percent 9 7 2" xfId="2823" xr:uid="{00000000-0005-0000-0000-0000CF0A0000}"/>
    <cellStyle name="Percent 9 8" xfId="1695" xr:uid="{00000000-0005-0000-0000-0000D00A0000}"/>
    <cellStyle name="Percent 9 8 2" xfId="2824" xr:uid="{00000000-0005-0000-0000-0000D10A0000}"/>
    <cellStyle name="Percent 9 9" xfId="2817" xr:uid="{00000000-0005-0000-0000-0000D20A0000}"/>
    <cellStyle name="source" xfId="1696" xr:uid="{00000000-0005-0000-0000-0000D30A0000}"/>
    <cellStyle name="Standard_Sce_D_Extraction" xfId="1697" xr:uid="{00000000-0005-0000-0000-0000D40A0000}"/>
    <cellStyle name="Style 29" xfId="1698" xr:uid="{00000000-0005-0000-0000-0000D50A0000}"/>
    <cellStyle name="Style 29 2" xfId="1699" xr:uid="{00000000-0005-0000-0000-0000D60A0000}"/>
    <cellStyle name="Style 29 2 2" xfId="2826" xr:uid="{00000000-0005-0000-0000-0000D70A0000}"/>
    <cellStyle name="Style 29 3" xfId="2825" xr:uid="{00000000-0005-0000-0000-0000D80A0000}"/>
    <cellStyle name="Style 35" xfId="1700" xr:uid="{00000000-0005-0000-0000-0000D90A0000}"/>
    <cellStyle name="Style 35 2" xfId="1701" xr:uid="{00000000-0005-0000-0000-0000DA0A0000}"/>
    <cellStyle name="Style 36" xfId="1702" xr:uid="{00000000-0005-0000-0000-0000DB0A0000}"/>
    <cellStyle name="Style 36 2" xfId="1703" xr:uid="{00000000-0005-0000-0000-0000DC0A0000}"/>
    <cellStyle name="tableau | cellule | normal | decimal 1" xfId="1704" xr:uid="{00000000-0005-0000-0000-0000DD0A0000}"/>
    <cellStyle name="tableau | cellule | normal | pourcentage | decimal 1" xfId="1705" xr:uid="{00000000-0005-0000-0000-0000DE0A0000}"/>
    <cellStyle name="tableau | cellule | total | decimal 1" xfId="1706" xr:uid="{00000000-0005-0000-0000-0000DF0A0000}"/>
    <cellStyle name="tableau | coin superieur gauche" xfId="1707" xr:uid="{00000000-0005-0000-0000-0000E00A0000}"/>
    <cellStyle name="tableau | coin superieur gauche 2" xfId="2827" xr:uid="{00000000-0005-0000-0000-0000E10A0000}"/>
    <cellStyle name="tableau | entete-colonne | series" xfId="1708" xr:uid="{00000000-0005-0000-0000-0000E20A0000}"/>
    <cellStyle name="tableau | entete-colonne | series 2" xfId="2828" xr:uid="{00000000-0005-0000-0000-0000E30A0000}"/>
    <cellStyle name="tableau | entete-ligne | normal" xfId="1709" xr:uid="{00000000-0005-0000-0000-0000E40A0000}"/>
    <cellStyle name="tableau | entete-ligne | normal 2" xfId="2829" xr:uid="{00000000-0005-0000-0000-0000E50A0000}"/>
    <cellStyle name="tableau | entete-ligne | total" xfId="1710" xr:uid="{00000000-0005-0000-0000-0000E60A0000}"/>
    <cellStyle name="tableau | ligne-titre | niveau1" xfId="1711" xr:uid="{00000000-0005-0000-0000-0000E70A0000}"/>
    <cellStyle name="tableau | ligne-titre | niveau1 2" xfId="2830" xr:uid="{00000000-0005-0000-0000-0000E80A0000}"/>
    <cellStyle name="tableau | ligne-titre | niveau2" xfId="1712" xr:uid="{00000000-0005-0000-0000-0000E90A0000}"/>
    <cellStyle name="tableau | ligne-titre | niveau2 2" xfId="2831" xr:uid="{00000000-0005-0000-0000-0000EA0A0000}"/>
    <cellStyle name="Title 2" xfId="1713" xr:uid="{00000000-0005-0000-0000-0000EB0A0000}"/>
    <cellStyle name="Title 2 10" xfId="1714" xr:uid="{00000000-0005-0000-0000-0000EC0A0000}"/>
    <cellStyle name="Title 2 2" xfId="1715" xr:uid="{00000000-0005-0000-0000-0000ED0A0000}"/>
    <cellStyle name="Title 2 3" xfId="1716" xr:uid="{00000000-0005-0000-0000-0000EE0A0000}"/>
    <cellStyle name="Title 2 4" xfId="1717" xr:uid="{00000000-0005-0000-0000-0000EF0A0000}"/>
    <cellStyle name="Title 2 5" xfId="1718" xr:uid="{00000000-0005-0000-0000-0000F00A0000}"/>
    <cellStyle name="Title 2 6" xfId="1719" xr:uid="{00000000-0005-0000-0000-0000F10A0000}"/>
    <cellStyle name="Title 2 7" xfId="1720" xr:uid="{00000000-0005-0000-0000-0000F20A0000}"/>
    <cellStyle name="Title 2 8" xfId="1721" xr:uid="{00000000-0005-0000-0000-0000F30A0000}"/>
    <cellStyle name="Title 2 9" xfId="1722" xr:uid="{00000000-0005-0000-0000-0000F40A0000}"/>
    <cellStyle name="Title 3" xfId="1723" xr:uid="{00000000-0005-0000-0000-0000F50A0000}"/>
    <cellStyle name="Title 3 2" xfId="1724" xr:uid="{00000000-0005-0000-0000-0000F60A0000}"/>
    <cellStyle name="Total 2" xfId="1725" xr:uid="{00000000-0005-0000-0000-0000F70A0000}"/>
    <cellStyle name="Total 2 10" xfId="1726" xr:uid="{00000000-0005-0000-0000-0000F80A0000}"/>
    <cellStyle name="Total 2 2" xfId="1727" xr:uid="{00000000-0005-0000-0000-0000F90A0000}"/>
    <cellStyle name="Total 2 3" xfId="1728" xr:uid="{00000000-0005-0000-0000-0000FA0A0000}"/>
    <cellStyle name="Total 2 4" xfId="1729" xr:uid="{00000000-0005-0000-0000-0000FB0A0000}"/>
    <cellStyle name="Total 2 5" xfId="1730" xr:uid="{00000000-0005-0000-0000-0000FC0A0000}"/>
    <cellStyle name="Total 2 6" xfId="1731" xr:uid="{00000000-0005-0000-0000-0000FD0A0000}"/>
    <cellStyle name="Total 2 7" xfId="1732" xr:uid="{00000000-0005-0000-0000-0000FE0A0000}"/>
    <cellStyle name="Total 2 8" xfId="1733" xr:uid="{00000000-0005-0000-0000-0000FF0A0000}"/>
    <cellStyle name="Total 2 9" xfId="1734" xr:uid="{00000000-0005-0000-0000-0000000B0000}"/>
    <cellStyle name="Total 3" xfId="1735" xr:uid="{00000000-0005-0000-0000-0000010B0000}"/>
    <cellStyle name="Total 3 2" xfId="1736" xr:uid="{00000000-0005-0000-0000-0000020B0000}"/>
    <cellStyle name="Warning Text 2" xfId="1737" xr:uid="{00000000-0005-0000-0000-0000030B0000}"/>
    <cellStyle name="Warning Text 2 10" xfId="1738" xr:uid="{00000000-0005-0000-0000-0000040B0000}"/>
    <cellStyle name="Warning Text 2 2" xfId="1739" xr:uid="{00000000-0005-0000-0000-0000050B0000}"/>
    <cellStyle name="Warning Text 2 3" xfId="1740" xr:uid="{00000000-0005-0000-0000-0000060B0000}"/>
    <cellStyle name="Warning Text 2 4" xfId="1741" xr:uid="{00000000-0005-0000-0000-0000070B0000}"/>
    <cellStyle name="Warning Text 2 5" xfId="1742" xr:uid="{00000000-0005-0000-0000-0000080B0000}"/>
    <cellStyle name="Warning Text 2 6" xfId="1743" xr:uid="{00000000-0005-0000-0000-0000090B0000}"/>
    <cellStyle name="Warning Text 2 7" xfId="1744" xr:uid="{00000000-0005-0000-0000-00000A0B0000}"/>
    <cellStyle name="Warning Text 2 8" xfId="1745" xr:uid="{00000000-0005-0000-0000-00000B0B0000}"/>
    <cellStyle name="Warning Text 2 9" xfId="1746" xr:uid="{00000000-0005-0000-0000-00000C0B0000}"/>
    <cellStyle name="Warning Text 3" xfId="1747" xr:uid="{00000000-0005-0000-0000-00000D0B0000}"/>
    <cellStyle name="Обычный_CRF2002 (1)" xfId="1748" xr:uid="{00000000-0005-0000-0000-00000E0B0000}"/>
    <cellStyle name="已访问的超链接" xfId="1749" xr:uid="{00000000-0005-0000-0000-00000F0B0000}"/>
  </cellStyles>
  <dxfs count="0"/>
  <tableStyles count="0" defaultTableStyle="TableStyleMedium9" defaultPivotStyle="PivotStyleLight16"/>
  <colors>
    <mruColors>
      <color rgb="FF1E8D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104775</xdr:rowOff>
    </xdr:from>
    <xdr:to>
      <xdr:col>14</xdr:col>
      <xdr:colOff>236587</xdr:colOff>
      <xdr:row>32</xdr:row>
      <xdr:rowOff>101796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65A6EE-3060-421A-9425-8FB3BDCB8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5875" y="104775"/>
          <a:ext cx="4237087" cy="5188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EA5F-FD11-E949-B299-B5A4FF2D7694}">
  <dimension ref="A1:A8"/>
  <sheetViews>
    <sheetView workbookViewId="0"/>
  </sheetViews>
  <sheetFormatPr defaultColWidth="11.44140625" defaultRowHeight="13.2"/>
  <sheetData>
    <row r="1" spans="1:1" ht="14.4">
      <c r="A1" s="13" t="s">
        <v>180</v>
      </c>
    </row>
    <row r="2" spans="1:1" ht="14.4">
      <c r="A2" s="14" t="s">
        <v>183</v>
      </c>
    </row>
    <row r="3" spans="1:1" ht="14.4">
      <c r="A3" s="14"/>
    </row>
    <row r="4" spans="1:1" ht="14.4">
      <c r="A4" s="13" t="s">
        <v>181</v>
      </c>
    </row>
    <row r="5" spans="1:1" ht="14.4">
      <c r="A5" s="14" t="s">
        <v>184</v>
      </c>
    </row>
    <row r="6" spans="1:1" ht="14.4">
      <c r="A6" s="14"/>
    </row>
    <row r="7" spans="1:1" ht="14.4">
      <c r="A7" s="13" t="s">
        <v>182</v>
      </c>
    </row>
    <row r="8" spans="1:1" ht="14.4">
      <c r="A8" s="14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1"/>
  <sheetViews>
    <sheetView workbookViewId="0">
      <selection activeCell="L38" sqref="K37:L38"/>
    </sheetView>
  </sheetViews>
  <sheetFormatPr defaultColWidth="9.21875" defaultRowHeight="13.2"/>
  <cols>
    <col min="1" max="1" width="19.21875" bestFit="1" customWidth="1"/>
    <col min="2" max="3" width="9.21875" customWidth="1"/>
    <col min="4" max="4" width="13.77734375" bestFit="1" customWidth="1"/>
    <col min="5" max="5" width="9.21875" customWidth="1"/>
    <col min="6" max="6" width="13.44140625" bestFit="1" customWidth="1"/>
  </cols>
  <sheetData>
    <row r="1" spans="1:10">
      <c r="B1" t="s">
        <v>122</v>
      </c>
      <c r="H1" t="s">
        <v>123</v>
      </c>
      <c r="J1" t="s">
        <v>124</v>
      </c>
    </row>
    <row r="3" spans="1:10">
      <c r="A3" s="1" t="s">
        <v>5</v>
      </c>
      <c r="H3" s="1" t="s">
        <v>7</v>
      </c>
      <c r="I3" s="5"/>
      <c r="J3" s="5"/>
    </row>
    <row r="4" spans="1:10">
      <c r="A4" s="3" t="s">
        <v>8</v>
      </c>
      <c r="B4" s="3" t="s">
        <v>179</v>
      </c>
      <c r="H4" s="3" t="s">
        <v>9</v>
      </c>
      <c r="I4" s="3" t="s">
        <v>10</v>
      </c>
      <c r="J4" s="3" t="s">
        <v>11</v>
      </c>
    </row>
    <row r="5" spans="1:10">
      <c r="A5" s="12" t="s">
        <v>102</v>
      </c>
      <c r="B5" t="s">
        <v>240</v>
      </c>
      <c r="H5" t="s">
        <v>260</v>
      </c>
      <c r="J5" t="s">
        <v>257</v>
      </c>
    </row>
    <row r="6" spans="1:10">
      <c r="B6" t="s">
        <v>241</v>
      </c>
      <c r="H6" t="s">
        <v>261</v>
      </c>
      <c r="J6" t="s">
        <v>258</v>
      </c>
    </row>
    <row r="7" spans="1:10">
      <c r="B7" t="s">
        <v>242</v>
      </c>
      <c r="H7" t="s">
        <v>262</v>
      </c>
      <c r="J7" t="s">
        <v>259</v>
      </c>
    </row>
    <row r="8" spans="1:10">
      <c r="B8" t="s">
        <v>243</v>
      </c>
      <c r="H8" t="s">
        <v>263</v>
      </c>
    </row>
    <row r="9" spans="1:10">
      <c r="B9" t="s">
        <v>244</v>
      </c>
    </row>
    <row r="10" spans="1:10">
      <c r="B10" t="s">
        <v>245</v>
      </c>
    </row>
    <row r="11" spans="1:10">
      <c r="B11" t="s">
        <v>246</v>
      </c>
    </row>
    <row r="12" spans="1:10">
      <c r="B12" t="s">
        <v>247</v>
      </c>
    </row>
    <row r="13" spans="1:10">
      <c r="B13" t="s">
        <v>248</v>
      </c>
    </row>
    <row r="14" spans="1:10">
      <c r="B14" t="s">
        <v>249</v>
      </c>
    </row>
    <row r="15" spans="1:10">
      <c r="B15" t="s">
        <v>250</v>
      </c>
    </row>
    <row r="16" spans="1:10">
      <c r="B16" t="s">
        <v>251</v>
      </c>
    </row>
    <row r="17" spans="2:2">
      <c r="B17" t="s">
        <v>252</v>
      </c>
    </row>
    <row r="18" spans="2:2">
      <c r="B18" t="s">
        <v>253</v>
      </c>
    </row>
    <row r="19" spans="2:2">
      <c r="B19" t="s">
        <v>254</v>
      </c>
    </row>
    <row r="20" spans="2:2">
      <c r="B20" t="s">
        <v>255</v>
      </c>
    </row>
    <row r="21" spans="2:2">
      <c r="B21" t="s">
        <v>256</v>
      </c>
    </row>
  </sheetData>
  <phoneticPr fontId="7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2"/>
  <sheetViews>
    <sheetView zoomScaleNormal="100" workbookViewId="0">
      <selection activeCell="N21" sqref="N21"/>
    </sheetView>
  </sheetViews>
  <sheetFormatPr defaultColWidth="9.21875" defaultRowHeight="13.2"/>
  <cols>
    <col min="2" max="3" width="9.21875" customWidth="1"/>
    <col min="4" max="4" width="16.77734375" bestFit="1" customWidth="1"/>
    <col min="5" max="5" width="9.21875" customWidth="1"/>
    <col min="6" max="6" width="10.77734375" bestFit="1" customWidth="1"/>
    <col min="7" max="7" width="9.44140625" bestFit="1" customWidth="1"/>
    <col min="8" max="9" width="8.44140625" bestFit="1" customWidth="1"/>
    <col min="10" max="10" width="8.77734375" bestFit="1" customWidth="1"/>
    <col min="11" max="11" width="10.44140625" bestFit="1" customWidth="1"/>
  </cols>
  <sheetData>
    <row r="1" spans="1:11">
      <c r="A1">
        <v>1</v>
      </c>
      <c r="B1" s="6"/>
    </row>
    <row r="2" spans="1:11">
      <c r="E2" s="4" t="s">
        <v>1</v>
      </c>
      <c r="F2" s="7"/>
    </row>
    <row r="3" spans="1:11">
      <c r="B3" s="1" t="str">
        <f>IF($A$1=2,"~TFM_UPD","~TFM_MIG")</f>
        <v>~TFM_MIG</v>
      </c>
      <c r="G3" s="1"/>
      <c r="H3" s="1"/>
      <c r="I3" s="1"/>
    </row>
    <row r="4" spans="1:11" ht="13.8" thickBot="1">
      <c r="B4" s="2" t="s">
        <v>14</v>
      </c>
      <c r="C4" s="2" t="s">
        <v>15</v>
      </c>
      <c r="D4" s="2" t="s">
        <v>16</v>
      </c>
      <c r="E4" s="2" t="str">
        <f>IF($A$1=2,"Year","Year2")</f>
        <v>Year2</v>
      </c>
      <c r="F4" s="2" t="s">
        <v>13</v>
      </c>
      <c r="G4" s="8" t="s">
        <v>19</v>
      </c>
      <c r="H4" s="8" t="s">
        <v>34</v>
      </c>
      <c r="I4" s="8" t="s">
        <v>18</v>
      </c>
      <c r="J4" s="8" t="s">
        <v>21</v>
      </c>
      <c r="K4" s="8" t="s">
        <v>46</v>
      </c>
    </row>
    <row r="5" spans="1:11">
      <c r="B5" s="9"/>
      <c r="C5" s="9"/>
      <c r="D5" s="9" t="s">
        <v>168</v>
      </c>
      <c r="E5">
        <v>0</v>
      </c>
      <c r="F5">
        <v>2</v>
      </c>
      <c r="G5" s="9"/>
      <c r="H5" s="9"/>
    </row>
    <row r="6" spans="1:11">
      <c r="B6" s="9"/>
      <c r="C6" s="9"/>
      <c r="D6" s="9" t="s">
        <v>169</v>
      </c>
      <c r="E6">
        <v>0</v>
      </c>
      <c r="F6">
        <v>2</v>
      </c>
      <c r="G6" s="9"/>
      <c r="H6" s="9"/>
    </row>
    <row r="7" spans="1:11">
      <c r="B7" s="9"/>
      <c r="C7" s="9"/>
      <c r="D7" t="s">
        <v>125</v>
      </c>
      <c r="E7">
        <v>0</v>
      </c>
      <c r="F7">
        <v>3</v>
      </c>
      <c r="G7" s="9"/>
      <c r="H7" s="9"/>
    </row>
    <row r="8" spans="1:11">
      <c r="B8" s="9"/>
      <c r="C8" s="9" t="s">
        <v>128</v>
      </c>
      <c r="D8" t="s">
        <v>127</v>
      </c>
      <c r="E8">
        <v>0</v>
      </c>
      <c r="F8">
        <v>3</v>
      </c>
      <c r="G8" s="9"/>
      <c r="H8" s="9" t="s">
        <v>71</v>
      </c>
    </row>
    <row r="9" spans="1:11">
      <c r="B9" s="9"/>
      <c r="C9" s="9"/>
      <c r="G9" s="9"/>
      <c r="H9" s="9"/>
    </row>
    <row r="11" spans="1:11">
      <c r="E11" s="4" t="s">
        <v>2</v>
      </c>
      <c r="F11" s="7"/>
    </row>
    <row r="12" spans="1:11">
      <c r="B12" s="1" t="s">
        <v>0</v>
      </c>
      <c r="G12" s="1"/>
      <c r="H12" s="1"/>
    </row>
    <row r="13" spans="1:11" ht="13.8" thickBot="1"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13</v>
      </c>
      <c r="G13" s="8" t="s">
        <v>19</v>
      </c>
      <c r="H13" s="8" t="s">
        <v>20</v>
      </c>
      <c r="I13" s="8" t="s">
        <v>18</v>
      </c>
    </row>
    <row r="14" spans="1:11">
      <c r="D14" t="s">
        <v>4</v>
      </c>
      <c r="F14">
        <v>99999</v>
      </c>
      <c r="G14" t="s">
        <v>3</v>
      </c>
    </row>
    <row r="15" spans="1:11">
      <c r="D15" t="s">
        <v>4</v>
      </c>
      <c r="F15">
        <v>9999</v>
      </c>
      <c r="G15" t="s">
        <v>22</v>
      </c>
    </row>
    <row r="19" spans="2:11">
      <c r="B19" s="1" t="str">
        <f>IF($A$1=2,"~TFM_INS","~TFM_INS-txt")</f>
        <v>~TFM_INS-txt</v>
      </c>
    </row>
    <row r="20" spans="2:11" ht="13.8" thickBot="1"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13</v>
      </c>
      <c r="G20" s="3" t="s">
        <v>35</v>
      </c>
      <c r="H20" s="3" t="s">
        <v>34</v>
      </c>
      <c r="I20" s="3" t="s">
        <v>19</v>
      </c>
      <c r="J20" s="3" t="s">
        <v>18</v>
      </c>
      <c r="K20" s="3" t="s">
        <v>51</v>
      </c>
    </row>
    <row r="21" spans="2:11">
      <c r="D21" t="s">
        <v>32</v>
      </c>
      <c r="F21" t="s">
        <v>33</v>
      </c>
      <c r="J21" t="s">
        <v>95</v>
      </c>
    </row>
    <row r="22" spans="2:11">
      <c r="D22" t="s">
        <v>96</v>
      </c>
      <c r="F22" t="s">
        <v>33</v>
      </c>
      <c r="H22" t="s">
        <v>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65"/>
  <sheetViews>
    <sheetView tabSelected="1" topLeftCell="A13" workbookViewId="0">
      <selection activeCell="G33" sqref="G33"/>
    </sheetView>
  </sheetViews>
  <sheetFormatPr defaultColWidth="9.21875" defaultRowHeight="13.2"/>
  <cols>
    <col min="1" max="1" width="9.21875" customWidth="1"/>
    <col min="2" max="2" width="15.21875" bestFit="1" customWidth="1"/>
    <col min="3" max="3" width="14" bestFit="1" customWidth="1"/>
    <col min="4" max="4" width="52" bestFit="1" customWidth="1"/>
    <col min="5" max="5" width="5.44140625" bestFit="1" customWidth="1"/>
    <col min="6" max="6" width="17.44140625" customWidth="1"/>
    <col min="7" max="7" width="21" customWidth="1"/>
    <col min="8" max="8" width="17.44140625" customWidth="1"/>
    <col min="9" max="9" width="19.44140625" customWidth="1"/>
    <col min="10" max="10" width="5" bestFit="1" customWidth="1"/>
  </cols>
  <sheetData>
    <row r="2" spans="2:9">
      <c r="B2" s="26" t="s">
        <v>39</v>
      </c>
      <c r="C2" s="11"/>
      <c r="D2" s="11"/>
      <c r="E2" s="11"/>
      <c r="F2" s="11"/>
      <c r="G2" s="11"/>
      <c r="H2" s="11"/>
      <c r="I2" s="11"/>
    </row>
    <row r="3" spans="2:9">
      <c r="B3" s="16" t="s">
        <v>264</v>
      </c>
      <c r="C3" s="16" t="s">
        <v>40</v>
      </c>
      <c r="D3" s="16" t="s">
        <v>41</v>
      </c>
      <c r="E3" s="17" t="s">
        <v>42</v>
      </c>
      <c r="F3" s="17" t="s">
        <v>15</v>
      </c>
      <c r="G3" s="17" t="s">
        <v>43</v>
      </c>
      <c r="H3" s="17" t="s">
        <v>44</v>
      </c>
      <c r="I3" s="17" t="s">
        <v>45</v>
      </c>
    </row>
    <row r="4" spans="2:9" ht="29.25" customHeight="1" thickBot="1">
      <c r="B4" s="18" t="s">
        <v>265</v>
      </c>
      <c r="C4" s="18" t="s">
        <v>266</v>
      </c>
      <c r="D4" s="18" t="s">
        <v>267</v>
      </c>
      <c r="E4" s="18" t="s">
        <v>42</v>
      </c>
      <c r="F4" s="18" t="s">
        <v>268</v>
      </c>
      <c r="G4" s="18" t="s">
        <v>269</v>
      </c>
      <c r="H4" s="18" t="s">
        <v>270</v>
      </c>
      <c r="I4" s="18" t="s">
        <v>271</v>
      </c>
    </row>
    <row r="5" spans="2:9">
      <c r="B5" s="19" t="s">
        <v>38</v>
      </c>
      <c r="C5" s="19" t="s">
        <v>54</v>
      </c>
      <c r="D5" s="20" t="s">
        <v>73</v>
      </c>
      <c r="E5" s="20" t="s">
        <v>61</v>
      </c>
      <c r="F5" s="19"/>
      <c r="G5" s="19"/>
      <c r="H5" s="19"/>
      <c r="I5" s="19"/>
    </row>
    <row r="6" spans="2:9">
      <c r="B6" s="19"/>
      <c r="C6" s="19" t="s">
        <v>55</v>
      </c>
      <c r="D6" s="20" t="s">
        <v>74</v>
      </c>
      <c r="E6" s="20" t="s">
        <v>61</v>
      </c>
      <c r="F6" s="19"/>
      <c r="G6" s="19"/>
      <c r="H6" s="19"/>
      <c r="I6" s="19"/>
    </row>
    <row r="7" spans="2:9">
      <c r="B7" s="19"/>
      <c r="C7" s="19" t="s">
        <v>56</v>
      </c>
      <c r="D7" s="20" t="s">
        <v>76</v>
      </c>
      <c r="E7" s="20" t="s">
        <v>61</v>
      </c>
      <c r="F7" s="19"/>
      <c r="G7" s="19" t="s">
        <v>33</v>
      </c>
      <c r="H7" s="19"/>
      <c r="I7" s="21"/>
    </row>
    <row r="8" spans="2:9">
      <c r="B8" s="19"/>
      <c r="C8" s="19" t="s">
        <v>57</v>
      </c>
      <c r="D8" s="20" t="s">
        <v>77</v>
      </c>
      <c r="E8" s="20" t="s">
        <v>61</v>
      </c>
      <c r="F8" s="19"/>
      <c r="G8" s="19"/>
      <c r="H8" s="19"/>
      <c r="I8" s="21"/>
    </row>
    <row r="9" spans="2:9">
      <c r="B9" s="19"/>
      <c r="C9" s="19" t="s">
        <v>115</v>
      </c>
      <c r="D9" s="20" t="s">
        <v>116</v>
      </c>
      <c r="E9" s="20" t="s">
        <v>61</v>
      </c>
      <c r="F9" s="19"/>
      <c r="G9" s="19"/>
      <c r="H9" s="19"/>
      <c r="I9" s="21"/>
    </row>
    <row r="10" spans="2:9">
      <c r="B10" s="19"/>
      <c r="C10" s="21" t="s">
        <v>170</v>
      </c>
      <c r="D10" s="20" t="s">
        <v>172</v>
      </c>
      <c r="E10" s="20" t="s">
        <v>61</v>
      </c>
      <c r="F10" s="19"/>
      <c r="G10" s="19"/>
      <c r="H10" s="19"/>
      <c r="I10" s="21"/>
    </row>
    <row r="11" spans="2:9">
      <c r="B11" s="19"/>
      <c r="C11" s="21" t="s">
        <v>69</v>
      </c>
      <c r="D11" s="20" t="s">
        <v>80</v>
      </c>
      <c r="E11" s="20" t="s">
        <v>61</v>
      </c>
      <c r="F11" s="19"/>
      <c r="G11" s="19"/>
      <c r="H11" s="19"/>
      <c r="I11" s="21"/>
    </row>
    <row r="12" spans="2:9">
      <c r="B12" s="19"/>
      <c r="C12" s="21" t="s">
        <v>175</v>
      </c>
      <c r="D12" s="20" t="s">
        <v>176</v>
      </c>
      <c r="E12" s="20" t="s">
        <v>61</v>
      </c>
      <c r="F12" s="19"/>
      <c r="G12" s="19"/>
      <c r="H12" s="19"/>
      <c r="I12" s="21"/>
    </row>
    <row r="13" spans="2:9">
      <c r="B13" s="19"/>
      <c r="C13" s="19" t="s">
        <v>62</v>
      </c>
      <c r="D13" s="22" t="s">
        <v>81</v>
      </c>
      <c r="E13" s="20" t="s">
        <v>61</v>
      </c>
      <c r="F13" s="19"/>
      <c r="G13" s="19"/>
      <c r="H13" s="19"/>
      <c r="I13" s="21"/>
    </row>
    <row r="14" spans="2:9">
      <c r="B14" s="19"/>
      <c r="C14" s="21" t="s">
        <v>156</v>
      </c>
      <c r="D14" s="20" t="s">
        <v>157</v>
      </c>
      <c r="E14" s="20" t="s">
        <v>61</v>
      </c>
      <c r="F14" s="19"/>
      <c r="G14" s="19"/>
      <c r="H14" s="19"/>
      <c r="I14" s="21"/>
    </row>
    <row r="15" spans="2:9">
      <c r="B15" s="19"/>
      <c r="C15" s="21" t="s">
        <v>63</v>
      </c>
      <c r="D15" s="20" t="s">
        <v>80</v>
      </c>
      <c r="E15" s="20" t="s">
        <v>61</v>
      </c>
      <c r="F15" s="19"/>
      <c r="G15" s="19"/>
      <c r="H15" s="19"/>
      <c r="I15" s="21"/>
    </row>
    <row r="16" spans="2:9">
      <c r="B16" s="19"/>
      <c r="C16" s="21" t="s">
        <v>65</v>
      </c>
      <c r="D16" s="20" t="s">
        <v>82</v>
      </c>
      <c r="E16" s="20" t="s">
        <v>61</v>
      </c>
      <c r="F16" s="21"/>
      <c r="G16" s="21" t="s">
        <v>33</v>
      </c>
      <c r="H16" s="21"/>
      <c r="I16" s="21"/>
    </row>
    <row r="17" spans="2:9">
      <c r="B17" s="21"/>
      <c r="C17" s="21" t="s">
        <v>70</v>
      </c>
      <c r="D17" s="20" t="s">
        <v>83</v>
      </c>
      <c r="E17" s="20" t="s">
        <v>61</v>
      </c>
      <c r="F17" s="21"/>
      <c r="G17" s="21"/>
      <c r="H17" s="21"/>
      <c r="I17" s="21"/>
    </row>
    <row r="18" spans="2:9">
      <c r="B18" s="21"/>
      <c r="C18" s="21" t="s">
        <v>68</v>
      </c>
      <c r="D18" s="20" t="s">
        <v>84</v>
      </c>
      <c r="E18" s="20" t="s">
        <v>61</v>
      </c>
      <c r="F18" s="21"/>
      <c r="G18" s="21"/>
      <c r="H18" s="21"/>
      <c r="I18" s="21"/>
    </row>
    <row r="19" spans="2:9">
      <c r="B19" s="21"/>
      <c r="C19" s="21" t="s">
        <v>60</v>
      </c>
      <c r="D19" s="20" t="s">
        <v>79</v>
      </c>
      <c r="E19" s="20" t="s">
        <v>61</v>
      </c>
      <c r="F19" s="21"/>
      <c r="G19" s="21"/>
      <c r="H19" s="21"/>
      <c r="I19" s="21"/>
    </row>
    <row r="20" spans="2:9">
      <c r="B20" s="21"/>
      <c r="C20" s="21" t="s">
        <v>64</v>
      </c>
      <c r="D20" s="20" t="s">
        <v>85</v>
      </c>
      <c r="E20" s="20" t="s">
        <v>61</v>
      </c>
      <c r="F20" s="21"/>
      <c r="G20" s="21"/>
      <c r="H20" s="21"/>
      <c r="I20" s="21"/>
    </row>
    <row r="21" spans="2:9">
      <c r="B21" s="21"/>
      <c r="C21" s="21" t="s">
        <v>126</v>
      </c>
      <c r="D21" s="20" t="s">
        <v>117</v>
      </c>
      <c r="E21" s="20" t="s">
        <v>61</v>
      </c>
      <c r="F21" s="21"/>
      <c r="G21" s="21"/>
      <c r="H21" s="21"/>
      <c r="I21" s="21"/>
    </row>
    <row r="22" spans="2:9">
      <c r="B22" s="21"/>
      <c r="C22" s="21" t="s">
        <v>171</v>
      </c>
      <c r="D22" s="20" t="s">
        <v>173</v>
      </c>
      <c r="E22" s="20" t="s">
        <v>61</v>
      </c>
      <c r="F22" s="21"/>
      <c r="G22" s="21"/>
      <c r="H22" s="21"/>
      <c r="I22" s="21"/>
    </row>
    <row r="23" spans="2:9">
      <c r="B23" s="21"/>
      <c r="C23" s="21" t="s">
        <v>59</v>
      </c>
      <c r="D23" s="20" t="s">
        <v>78</v>
      </c>
      <c r="E23" s="20" t="s">
        <v>61</v>
      </c>
      <c r="F23" s="21"/>
      <c r="G23" s="21"/>
      <c r="H23" s="21"/>
      <c r="I23" s="21"/>
    </row>
    <row r="24" spans="2:9">
      <c r="B24" s="21"/>
      <c r="C24" s="21" t="s">
        <v>71</v>
      </c>
      <c r="D24" s="20" t="s">
        <v>86</v>
      </c>
      <c r="E24" s="20" t="s">
        <v>61</v>
      </c>
      <c r="F24" s="21"/>
      <c r="G24" s="21"/>
      <c r="H24" s="21"/>
      <c r="I24" s="21"/>
    </row>
    <row r="25" spans="2:9">
      <c r="B25" s="21"/>
      <c r="C25" s="21" t="s">
        <v>66</v>
      </c>
      <c r="D25" s="20" t="s">
        <v>87</v>
      </c>
      <c r="E25" s="20" t="s">
        <v>61</v>
      </c>
      <c r="F25" s="21"/>
      <c r="G25" s="21"/>
      <c r="H25" s="21"/>
      <c r="I25" s="21"/>
    </row>
    <row r="26" spans="2:9">
      <c r="B26" s="21"/>
      <c r="C26" s="23" t="s">
        <v>67</v>
      </c>
      <c r="D26" s="20" t="s">
        <v>88</v>
      </c>
      <c r="E26" s="20" t="s">
        <v>61</v>
      </c>
      <c r="F26" s="21"/>
      <c r="G26" s="21"/>
      <c r="H26" s="21"/>
      <c r="I26" s="21"/>
    </row>
    <row r="27" spans="2:9">
      <c r="B27" s="21"/>
      <c r="C27" s="21" t="s">
        <v>72</v>
      </c>
      <c r="D27" s="20" t="s">
        <v>89</v>
      </c>
      <c r="E27" s="20" t="s">
        <v>61</v>
      </c>
      <c r="F27" s="21"/>
      <c r="G27" s="21"/>
      <c r="H27" s="21"/>
      <c r="I27" s="21"/>
    </row>
    <row r="28" spans="2:9">
      <c r="B28" s="21"/>
      <c r="C28" s="23" t="s">
        <v>103</v>
      </c>
      <c r="D28" s="20" t="s">
        <v>91</v>
      </c>
      <c r="E28" s="20" t="s">
        <v>61</v>
      </c>
      <c r="F28" s="21"/>
      <c r="G28" s="21" t="s">
        <v>92</v>
      </c>
      <c r="H28" s="21" t="s">
        <v>109</v>
      </c>
      <c r="I28" s="21" t="s">
        <v>103</v>
      </c>
    </row>
    <row r="29" spans="2:9">
      <c r="B29" s="21"/>
      <c r="C29" s="23" t="s">
        <v>93</v>
      </c>
      <c r="D29" s="20" t="s">
        <v>94</v>
      </c>
      <c r="E29" s="20" t="s">
        <v>61</v>
      </c>
      <c r="F29" s="21" t="s">
        <v>112</v>
      </c>
      <c r="G29" s="21" t="s">
        <v>33</v>
      </c>
      <c r="H29" s="21"/>
      <c r="I29" s="21"/>
    </row>
    <row r="30" spans="2:9">
      <c r="B30" s="21" t="s">
        <v>90</v>
      </c>
      <c r="C30" s="23" t="s">
        <v>186</v>
      </c>
      <c r="D30" s="20" t="s">
        <v>118</v>
      </c>
      <c r="E30" s="20" t="s">
        <v>61</v>
      </c>
      <c r="F30" s="21"/>
      <c r="G30" s="21"/>
      <c r="H30" s="21"/>
      <c r="I30" s="21"/>
    </row>
    <row r="31" spans="2:9">
      <c r="B31" s="21"/>
      <c r="C31" s="23" t="s">
        <v>187</v>
      </c>
      <c r="D31" s="20" t="s">
        <v>119</v>
      </c>
      <c r="E31" s="20" t="s">
        <v>61</v>
      </c>
      <c r="F31" s="21"/>
      <c r="G31" s="21"/>
      <c r="H31" s="21"/>
      <c r="I31" s="21"/>
    </row>
    <row r="32" spans="2:9">
      <c r="B32" s="21"/>
      <c r="C32" s="23" t="s">
        <v>188</v>
      </c>
      <c r="D32" s="20" t="s">
        <v>120</v>
      </c>
      <c r="E32" s="20" t="s">
        <v>61</v>
      </c>
      <c r="F32" s="21"/>
      <c r="G32" s="21"/>
      <c r="H32" s="21"/>
      <c r="I32" s="21"/>
    </row>
    <row r="33" spans="2:11">
      <c r="B33" s="21"/>
      <c r="C33" s="23" t="s">
        <v>189</v>
      </c>
      <c r="D33" s="20" t="s">
        <v>121</v>
      </c>
      <c r="E33" s="20" t="s">
        <v>61</v>
      </c>
      <c r="F33" s="23"/>
      <c r="G33" s="21"/>
      <c r="H33" s="21"/>
      <c r="I33" s="21"/>
    </row>
    <row r="34" spans="2:11">
      <c r="B34" s="21"/>
      <c r="C34" s="23" t="s">
        <v>190</v>
      </c>
      <c r="D34" s="20" t="s">
        <v>193</v>
      </c>
      <c r="E34" s="20" t="s">
        <v>61</v>
      </c>
      <c r="F34" s="24" t="s">
        <v>112</v>
      </c>
      <c r="G34" s="21"/>
      <c r="H34" s="21"/>
      <c r="I34" s="21"/>
    </row>
    <row r="35" spans="2:11">
      <c r="B35" s="21"/>
      <c r="C35" s="23" t="s">
        <v>191</v>
      </c>
      <c r="D35" s="20" t="s">
        <v>194</v>
      </c>
      <c r="E35" s="20" t="s">
        <v>61</v>
      </c>
      <c r="F35" s="24" t="s">
        <v>112</v>
      </c>
      <c r="G35" s="21"/>
      <c r="H35" s="21"/>
      <c r="I35" s="21"/>
    </row>
    <row r="36" spans="2:11">
      <c r="B36" s="21"/>
      <c r="C36" s="23" t="s">
        <v>192</v>
      </c>
      <c r="D36" s="20" t="s">
        <v>195</v>
      </c>
      <c r="E36" s="20" t="s">
        <v>61</v>
      </c>
      <c r="F36" s="24" t="s">
        <v>112</v>
      </c>
      <c r="G36" s="21"/>
      <c r="H36" s="21"/>
      <c r="I36" s="21"/>
    </row>
    <row r="37" spans="2:11">
      <c r="B37" s="21" t="s">
        <v>98</v>
      </c>
      <c r="C37" s="23" t="s">
        <v>99</v>
      </c>
      <c r="D37" s="20" t="s">
        <v>100</v>
      </c>
      <c r="E37" s="20" t="s">
        <v>101</v>
      </c>
      <c r="F37" s="23"/>
      <c r="G37" s="21"/>
      <c r="I37" s="21"/>
    </row>
    <row r="38" spans="2:11">
      <c r="B38" s="21"/>
      <c r="C38" s="23" t="s">
        <v>106</v>
      </c>
      <c r="D38" s="22" t="s">
        <v>285</v>
      </c>
      <c r="E38" s="20" t="s">
        <v>101</v>
      </c>
      <c r="F38" s="21" t="s">
        <v>112</v>
      </c>
      <c r="G38" s="21"/>
      <c r="H38" s="21"/>
      <c r="I38" s="21"/>
    </row>
    <row r="39" spans="2:11">
      <c r="B39" s="21"/>
      <c r="C39" s="23" t="s">
        <v>110</v>
      </c>
      <c r="D39" s="20" t="s">
        <v>111</v>
      </c>
      <c r="E39" s="20" t="s">
        <v>101</v>
      </c>
      <c r="F39" s="21" t="s">
        <v>112</v>
      </c>
      <c r="G39" s="21"/>
      <c r="H39" s="21"/>
      <c r="I39" s="21"/>
    </row>
    <row r="40" spans="2:11">
      <c r="B40" s="21"/>
      <c r="C40" s="23" t="s">
        <v>113</v>
      </c>
      <c r="D40" s="20" t="s">
        <v>114</v>
      </c>
      <c r="E40" s="20" t="s">
        <v>101</v>
      </c>
      <c r="F40" s="21"/>
      <c r="G40" s="21"/>
      <c r="H40" s="21"/>
      <c r="I40" s="21"/>
    </row>
    <row r="41" spans="2:11">
      <c r="B41" s="21"/>
      <c r="C41" s="24" t="s">
        <v>107</v>
      </c>
      <c r="D41" s="22" t="s">
        <v>108</v>
      </c>
      <c r="E41" s="22" t="s">
        <v>101</v>
      </c>
      <c r="F41" s="21"/>
      <c r="G41" s="21"/>
      <c r="H41" s="21"/>
      <c r="I41" s="21"/>
    </row>
    <row r="42" spans="2:11">
      <c r="B42" s="21" t="s">
        <v>38</v>
      </c>
      <c r="C42" s="21" t="s">
        <v>104</v>
      </c>
      <c r="D42" s="21" t="s">
        <v>105</v>
      </c>
      <c r="E42" s="21" t="s">
        <v>61</v>
      </c>
      <c r="F42" s="21"/>
      <c r="G42" s="21"/>
      <c r="H42" s="21"/>
      <c r="I42" s="21"/>
    </row>
    <row r="43" spans="2:11">
      <c r="B43" s="21" t="s">
        <v>98</v>
      </c>
      <c r="C43" s="21" t="s">
        <v>158</v>
      </c>
      <c r="D43" s="21" t="s">
        <v>159</v>
      </c>
      <c r="E43" s="21" t="s">
        <v>61</v>
      </c>
      <c r="F43" s="21"/>
      <c r="G43" s="21"/>
      <c r="H43" s="21"/>
      <c r="I43" s="21"/>
    </row>
    <row r="44" spans="2:11">
      <c r="B44" s="21" t="s">
        <v>38</v>
      </c>
      <c r="C44" s="21" t="s">
        <v>197</v>
      </c>
      <c r="D44" s="21" t="s">
        <v>198</v>
      </c>
      <c r="E44" s="21" t="s">
        <v>61</v>
      </c>
      <c r="F44" s="21"/>
      <c r="G44" s="21" t="s">
        <v>92</v>
      </c>
      <c r="H44" s="21"/>
      <c r="I44" s="21" t="s">
        <v>103</v>
      </c>
    </row>
    <row r="45" spans="2:11">
      <c r="B45" s="28" t="s">
        <v>38</v>
      </c>
      <c r="C45" s="28" t="s">
        <v>272</v>
      </c>
      <c r="D45" s="29" t="s">
        <v>273</v>
      </c>
      <c r="E45" s="29" t="s">
        <v>61</v>
      </c>
      <c r="F45" s="28" t="s">
        <v>112</v>
      </c>
      <c r="G45" s="28" t="s">
        <v>92</v>
      </c>
      <c r="H45" s="30"/>
      <c r="I45" s="30"/>
    </row>
    <row r="46" spans="2:11">
      <c r="B46" s="28" t="s">
        <v>90</v>
      </c>
      <c r="C46" s="28" t="s">
        <v>274</v>
      </c>
      <c r="D46" s="29" t="s">
        <v>275</v>
      </c>
      <c r="E46" s="29" t="s">
        <v>61</v>
      </c>
      <c r="F46" s="28"/>
      <c r="G46" s="28"/>
      <c r="H46" s="30"/>
      <c r="I46" s="30"/>
    </row>
    <row r="47" spans="2:11">
      <c r="B47" s="28" t="s">
        <v>90</v>
      </c>
      <c r="C47" s="28" t="s">
        <v>276</v>
      </c>
      <c r="D47" s="29" t="s">
        <v>277</v>
      </c>
      <c r="E47" s="29" t="s">
        <v>61</v>
      </c>
      <c r="F47" s="28"/>
      <c r="G47" s="28"/>
      <c r="H47" s="30"/>
      <c r="I47" s="30"/>
      <c r="J47" s="21"/>
      <c r="K47" s="27"/>
    </row>
    <row r="48" spans="2:11" s="27" customFormat="1">
      <c r="B48" s="28" t="s">
        <v>98</v>
      </c>
      <c r="C48" s="28" t="s">
        <v>278</v>
      </c>
      <c r="D48" s="29" t="s">
        <v>279</v>
      </c>
      <c r="E48" s="29" t="s">
        <v>101</v>
      </c>
      <c r="F48" s="28"/>
      <c r="G48" s="28"/>
      <c r="H48" s="30"/>
      <c r="I48" s="30"/>
      <c r="J48" s="21"/>
    </row>
    <row r="49" spans="2:10" s="27" customFormat="1">
      <c r="B49" s="28" t="s">
        <v>98</v>
      </c>
      <c r="C49" s="28" t="s">
        <v>280</v>
      </c>
      <c r="D49" s="29" t="s">
        <v>282</v>
      </c>
      <c r="E49" s="29" t="s">
        <v>101</v>
      </c>
      <c r="F49" s="28"/>
      <c r="G49" s="28"/>
      <c r="H49" s="30"/>
      <c r="I49" s="30"/>
      <c r="J49" s="21"/>
    </row>
    <row r="50" spans="2:10">
      <c r="B50" s="28" t="s">
        <v>98</v>
      </c>
      <c r="C50" s="28" t="s">
        <v>281</v>
      </c>
      <c r="D50" s="29" t="s">
        <v>283</v>
      </c>
      <c r="E50" s="29" t="s">
        <v>101</v>
      </c>
      <c r="F50" s="28"/>
      <c r="G50" s="28"/>
      <c r="H50" s="30"/>
      <c r="I50" s="30"/>
    </row>
    <row r="51" spans="2:10" s="27" customFormat="1">
      <c r="B51" s="28" t="s">
        <v>98</v>
      </c>
      <c r="C51" s="28" t="s">
        <v>288</v>
      </c>
      <c r="D51" s="29" t="s">
        <v>289</v>
      </c>
      <c r="E51" s="29" t="s">
        <v>101</v>
      </c>
      <c r="F51" s="28"/>
      <c r="G51" s="28"/>
      <c r="H51" s="30"/>
      <c r="I51" s="30"/>
    </row>
    <row r="64" spans="2:10">
      <c r="B64" s="26" t="s">
        <v>287</v>
      </c>
    </row>
    <row r="65" spans="2:9">
      <c r="B65" s="19" t="s">
        <v>38</v>
      </c>
      <c r="C65" s="19" t="s">
        <v>58</v>
      </c>
      <c r="D65" s="20" t="s">
        <v>75</v>
      </c>
      <c r="E65" s="20" t="s">
        <v>61</v>
      </c>
      <c r="F65" s="19"/>
      <c r="G65" s="19"/>
      <c r="H65" s="19"/>
      <c r="I65" s="19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H47"/>
  <sheetViews>
    <sheetView workbookViewId="0">
      <selection activeCell="B2" sqref="B2:B3"/>
    </sheetView>
  </sheetViews>
  <sheetFormatPr defaultColWidth="8.77734375" defaultRowHeight="13.2"/>
  <cols>
    <col min="6" max="6" width="14.5546875" bestFit="1" customWidth="1"/>
    <col min="7" max="7" width="10.77734375" bestFit="1" customWidth="1"/>
    <col min="8" max="8" width="9.77734375" bestFit="1" customWidth="1"/>
  </cols>
  <sheetData>
    <row r="2" spans="2:8">
      <c r="B2" s="26" t="s">
        <v>29</v>
      </c>
    </row>
    <row r="3" spans="2:8" ht="13.8" thickBot="1">
      <c r="B3" s="25" t="s">
        <v>30</v>
      </c>
    </row>
    <row r="4" spans="2:8">
      <c r="B4" t="s">
        <v>49</v>
      </c>
      <c r="F4" s="26" t="s">
        <v>199</v>
      </c>
    </row>
    <row r="5" spans="2:8" ht="13.8" thickBot="1">
      <c r="B5" t="s">
        <v>37</v>
      </c>
      <c r="F5" s="25" t="s">
        <v>200</v>
      </c>
      <c r="G5" s="25" t="s">
        <v>201</v>
      </c>
      <c r="H5" s="25" t="s">
        <v>202</v>
      </c>
    </row>
    <row r="6" spans="2:8">
      <c r="B6" t="s">
        <v>129</v>
      </c>
      <c r="F6" t="s">
        <v>203</v>
      </c>
      <c r="G6" t="s">
        <v>204</v>
      </c>
      <c r="H6">
        <v>1055.55</v>
      </c>
    </row>
    <row r="7" spans="2:8">
      <c r="B7" t="s">
        <v>130</v>
      </c>
      <c r="F7" t="s">
        <v>205</v>
      </c>
      <c r="G7" t="s">
        <v>204</v>
      </c>
      <c r="H7">
        <v>3.6</v>
      </c>
    </row>
    <row r="8" spans="2:8">
      <c r="B8" t="s">
        <v>131</v>
      </c>
      <c r="F8" t="s">
        <v>206</v>
      </c>
      <c r="G8" t="s">
        <v>207</v>
      </c>
      <c r="H8">
        <v>1000</v>
      </c>
    </row>
    <row r="9" spans="2:8">
      <c r="B9" t="s">
        <v>132</v>
      </c>
      <c r="F9" t="s">
        <v>208</v>
      </c>
      <c r="G9" t="s">
        <v>204</v>
      </c>
      <c r="H9">
        <v>1.06</v>
      </c>
    </row>
    <row r="10" spans="2:8">
      <c r="B10" t="s">
        <v>133</v>
      </c>
      <c r="F10" t="s">
        <v>209</v>
      </c>
      <c r="G10" t="s">
        <v>204</v>
      </c>
      <c r="H10">
        <v>0.04</v>
      </c>
    </row>
    <row r="11" spans="2:8">
      <c r="B11" t="s">
        <v>134</v>
      </c>
      <c r="F11" t="s">
        <v>210</v>
      </c>
      <c r="G11" t="s">
        <v>204</v>
      </c>
      <c r="H11">
        <v>41.87</v>
      </c>
    </row>
    <row r="12" spans="2:8">
      <c r="B12" t="s">
        <v>135</v>
      </c>
      <c r="F12" t="s">
        <v>211</v>
      </c>
      <c r="G12" t="s">
        <v>204</v>
      </c>
      <c r="H12">
        <v>3.5999999999999999E-3</v>
      </c>
    </row>
    <row r="13" spans="2:8">
      <c r="B13" t="s">
        <v>136</v>
      </c>
      <c r="F13" t="s">
        <v>212</v>
      </c>
      <c r="G13" t="s">
        <v>207</v>
      </c>
      <c r="H13">
        <v>1000000</v>
      </c>
    </row>
    <row r="14" spans="2:8">
      <c r="B14" t="s">
        <v>137</v>
      </c>
      <c r="F14" t="s">
        <v>218</v>
      </c>
      <c r="G14" t="s">
        <v>219</v>
      </c>
      <c r="H14">
        <v>1000</v>
      </c>
    </row>
    <row r="15" spans="2:8">
      <c r="B15" t="s">
        <v>138</v>
      </c>
      <c r="F15" t="s">
        <v>220</v>
      </c>
      <c r="G15" t="s">
        <v>221</v>
      </c>
      <c r="H15">
        <v>0.15</v>
      </c>
    </row>
    <row r="16" spans="2:8">
      <c r="B16" t="s">
        <v>139</v>
      </c>
      <c r="F16" t="s">
        <v>222</v>
      </c>
      <c r="G16" t="s">
        <v>223</v>
      </c>
      <c r="H16">
        <v>0</v>
      </c>
    </row>
    <row r="17" spans="2:8">
      <c r="B17" t="s">
        <v>140</v>
      </c>
      <c r="F17" t="s">
        <v>213</v>
      </c>
      <c r="G17" t="s">
        <v>204</v>
      </c>
      <c r="H17">
        <v>1000</v>
      </c>
    </row>
    <row r="18" spans="2:8">
      <c r="B18" t="s">
        <v>141</v>
      </c>
      <c r="F18" t="s">
        <v>214</v>
      </c>
      <c r="G18" t="s">
        <v>204</v>
      </c>
      <c r="H18">
        <v>37.68</v>
      </c>
    </row>
    <row r="19" spans="2:8">
      <c r="B19" t="s">
        <v>142</v>
      </c>
      <c r="F19" t="s">
        <v>215</v>
      </c>
      <c r="G19" t="s">
        <v>204</v>
      </c>
      <c r="H19">
        <v>2299</v>
      </c>
    </row>
    <row r="20" spans="2:8">
      <c r="B20" t="s">
        <v>143</v>
      </c>
      <c r="F20" t="s">
        <v>216</v>
      </c>
      <c r="G20" t="s">
        <v>221</v>
      </c>
      <c r="H20">
        <v>2.78</v>
      </c>
    </row>
    <row r="21" spans="2:8">
      <c r="B21" t="s">
        <v>144</v>
      </c>
      <c r="F21" t="s">
        <v>217</v>
      </c>
      <c r="G21" t="s">
        <v>204</v>
      </c>
      <c r="H21">
        <v>3.6</v>
      </c>
    </row>
    <row r="22" spans="2:8">
      <c r="B22" t="s">
        <v>145</v>
      </c>
      <c r="F22" t="s">
        <v>204</v>
      </c>
      <c r="G22" t="s">
        <v>204</v>
      </c>
      <c r="H22">
        <v>1</v>
      </c>
    </row>
    <row r="23" spans="2:8">
      <c r="B23" t="s">
        <v>31</v>
      </c>
    </row>
    <row r="24" spans="2:8">
      <c r="B24" t="s">
        <v>146</v>
      </c>
    </row>
    <row r="25" spans="2:8">
      <c r="B25" t="s">
        <v>147</v>
      </c>
    </row>
    <row r="26" spans="2:8">
      <c r="B26" t="s">
        <v>148</v>
      </c>
    </row>
    <row r="27" spans="2:8">
      <c r="B27" t="s">
        <v>52</v>
      </c>
    </row>
    <row r="28" spans="2:8">
      <c r="B28" t="s">
        <v>47</v>
      </c>
    </row>
    <row r="29" spans="2:8">
      <c r="B29" t="s">
        <v>149</v>
      </c>
    </row>
    <row r="30" spans="2:8">
      <c r="B30" t="s">
        <v>150</v>
      </c>
    </row>
    <row r="31" spans="2:8">
      <c r="B31" t="s">
        <v>151</v>
      </c>
    </row>
    <row r="32" spans="2:8">
      <c r="B32" t="s">
        <v>36</v>
      </c>
    </row>
    <row r="33" spans="2:2">
      <c r="B33" t="s">
        <v>152</v>
      </c>
    </row>
    <row r="34" spans="2:2">
      <c r="B34" t="s">
        <v>53</v>
      </c>
    </row>
    <row r="35" spans="2:2">
      <c r="B35" t="s">
        <v>153</v>
      </c>
    </row>
    <row r="36" spans="2:2">
      <c r="B36" t="s">
        <v>154</v>
      </c>
    </row>
    <row r="37" spans="2:2">
      <c r="B37" t="s">
        <v>50</v>
      </c>
    </row>
    <row r="38" spans="2:2">
      <c r="B38" t="s">
        <v>155</v>
      </c>
    </row>
    <row r="39" spans="2:2">
      <c r="B39" t="s">
        <v>177</v>
      </c>
    </row>
    <row r="40" spans="2:2">
      <c r="B40" t="s">
        <v>178</v>
      </c>
    </row>
    <row r="41" spans="2:2">
      <c r="B41" t="s">
        <v>231</v>
      </c>
    </row>
    <row r="42" spans="2:2">
      <c r="B42" t="s">
        <v>232</v>
      </c>
    </row>
    <row r="43" spans="2:2">
      <c r="B43" t="s">
        <v>233</v>
      </c>
    </row>
    <row r="44" spans="2:2">
      <c r="B44" t="s">
        <v>234</v>
      </c>
    </row>
    <row r="45" spans="2:2">
      <c r="B45" t="s">
        <v>235</v>
      </c>
    </row>
    <row r="46" spans="2:2">
      <c r="B46" t="s">
        <v>236</v>
      </c>
    </row>
    <row r="47" spans="2:2">
      <c r="B47" t="s">
        <v>237</v>
      </c>
    </row>
  </sheetData>
  <phoneticPr fontId="5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J30"/>
  <sheetViews>
    <sheetView workbookViewId="0">
      <selection activeCell="N16" sqref="N16"/>
    </sheetView>
  </sheetViews>
  <sheetFormatPr defaultColWidth="9.21875" defaultRowHeight="13.2"/>
  <cols>
    <col min="1" max="1" width="9.21875" customWidth="1"/>
    <col min="2" max="2" width="13.5546875" bestFit="1" customWidth="1"/>
    <col min="5" max="5" width="15.77734375" bestFit="1" customWidth="1"/>
    <col min="6" max="8" width="11.5546875" bestFit="1" customWidth="1"/>
    <col min="9" max="9" width="14.77734375" bestFit="1" customWidth="1"/>
    <col min="10" max="10" width="11.5546875" bestFit="1" customWidth="1"/>
  </cols>
  <sheetData>
    <row r="1" spans="2:10" ht="14.4">
      <c r="F1" s="15" t="s">
        <v>229</v>
      </c>
    </row>
    <row r="2" spans="2:10" ht="14.4">
      <c r="F2" s="15">
        <v>2017</v>
      </c>
    </row>
    <row r="3" spans="2:10">
      <c r="B3" s="26" t="s">
        <v>23</v>
      </c>
      <c r="F3">
        <v>2018</v>
      </c>
    </row>
    <row r="4" spans="2:10">
      <c r="B4">
        <f>MIN($F$2:$F$6)</f>
        <v>2017</v>
      </c>
    </row>
    <row r="7" spans="2:10">
      <c r="B7" s="26" t="s">
        <v>24</v>
      </c>
    </row>
    <row r="8" spans="2:10">
      <c r="B8" t="str">
        <f>F12</f>
        <v>msy11_2050</v>
      </c>
    </row>
    <row r="11" spans="2:10">
      <c r="B11" s="26" t="s">
        <v>6</v>
      </c>
      <c r="E11" s="26" t="s">
        <v>225</v>
      </c>
    </row>
    <row r="12" spans="2:10" ht="13.8" thickBot="1">
      <c r="B12" s="25" t="s">
        <v>174</v>
      </c>
      <c r="E12" s="25" t="s">
        <v>226</v>
      </c>
      <c r="F12" s="25" t="s">
        <v>238</v>
      </c>
      <c r="G12" s="25" t="s">
        <v>239</v>
      </c>
      <c r="H12" s="25" t="s">
        <v>230</v>
      </c>
      <c r="I12" s="25" t="s">
        <v>284</v>
      </c>
      <c r="J12" s="25" t="s">
        <v>286</v>
      </c>
    </row>
    <row r="13" spans="2:10">
      <c r="B13" s="10">
        <v>1</v>
      </c>
      <c r="E13" t="s">
        <v>227</v>
      </c>
      <c r="I13" s="27"/>
    </row>
    <row r="14" spans="2:10">
      <c r="B14" s="10">
        <v>1</v>
      </c>
      <c r="E14" t="s">
        <v>228</v>
      </c>
      <c r="F14">
        <f>$B$4</f>
        <v>2017</v>
      </c>
      <c r="G14">
        <f>$B$4</f>
        <v>2017</v>
      </c>
      <c r="H14">
        <f>$B$4</f>
        <v>2017</v>
      </c>
      <c r="I14" s="27">
        <f>$B$4</f>
        <v>2017</v>
      </c>
      <c r="J14">
        <v>2017</v>
      </c>
    </row>
    <row r="15" spans="2:10">
      <c r="B15" s="10">
        <v>1</v>
      </c>
      <c r="E15" t="s">
        <v>228</v>
      </c>
      <c r="F15">
        <f t="shared" ref="F15:H18" si="0">F14+1</f>
        <v>2018</v>
      </c>
      <c r="G15">
        <f t="shared" si="0"/>
        <v>2018</v>
      </c>
      <c r="H15">
        <f t="shared" si="0"/>
        <v>2018</v>
      </c>
      <c r="I15" s="27">
        <f t="shared" ref="I15" si="1">I14+1</f>
        <v>2018</v>
      </c>
      <c r="J15">
        <v>2018</v>
      </c>
    </row>
    <row r="16" spans="2:10">
      <c r="B16" s="10">
        <v>5</v>
      </c>
      <c r="E16" t="s">
        <v>228</v>
      </c>
      <c r="F16">
        <f t="shared" si="0"/>
        <v>2019</v>
      </c>
      <c r="G16">
        <f t="shared" si="0"/>
        <v>2019</v>
      </c>
      <c r="H16">
        <f t="shared" si="0"/>
        <v>2019</v>
      </c>
      <c r="I16" s="27">
        <f t="shared" ref="I16" si="2">I15+1</f>
        <v>2019</v>
      </c>
      <c r="J16">
        <v>2019</v>
      </c>
    </row>
    <row r="17" spans="2:10">
      <c r="B17" s="10">
        <v>5</v>
      </c>
      <c r="E17" t="s">
        <v>228</v>
      </c>
      <c r="F17">
        <f t="shared" si="0"/>
        <v>2020</v>
      </c>
      <c r="G17">
        <f t="shared" si="0"/>
        <v>2020</v>
      </c>
      <c r="H17">
        <f t="shared" si="0"/>
        <v>2020</v>
      </c>
      <c r="I17" s="27">
        <f t="shared" ref="I17" si="3">I16+1</f>
        <v>2020</v>
      </c>
      <c r="J17">
        <v>2020</v>
      </c>
    </row>
    <row r="18" spans="2:10">
      <c r="B18" s="10">
        <v>5</v>
      </c>
      <c r="E18" t="s">
        <v>228</v>
      </c>
      <c r="F18">
        <f t="shared" si="0"/>
        <v>2021</v>
      </c>
      <c r="G18">
        <f t="shared" si="0"/>
        <v>2021</v>
      </c>
      <c r="H18">
        <f t="shared" si="0"/>
        <v>2021</v>
      </c>
      <c r="I18" s="27">
        <f t="shared" ref="I18" si="4">I17+1</f>
        <v>2021</v>
      </c>
      <c r="J18">
        <v>2021</v>
      </c>
    </row>
    <row r="19" spans="2:10">
      <c r="B19" s="10">
        <v>5</v>
      </c>
      <c r="E19" t="s">
        <v>228</v>
      </c>
      <c r="F19">
        <f>F17+5</f>
        <v>2025</v>
      </c>
      <c r="G19">
        <f>G17+5</f>
        <v>2025</v>
      </c>
      <c r="H19">
        <v>2030</v>
      </c>
      <c r="I19" s="27">
        <f>I17+5</f>
        <v>2025</v>
      </c>
      <c r="J19">
        <v>2030</v>
      </c>
    </row>
    <row r="20" spans="2:10">
      <c r="B20" s="10">
        <v>5</v>
      </c>
      <c r="E20" t="s">
        <v>228</v>
      </c>
      <c r="F20">
        <f>F19+5</f>
        <v>2030</v>
      </c>
      <c r="G20">
        <f>G19+5</f>
        <v>2030</v>
      </c>
      <c r="H20">
        <v>2040</v>
      </c>
      <c r="I20" s="27">
        <f t="shared" ref="I20:I25" si="5">I19+5</f>
        <v>2030</v>
      </c>
      <c r="J20">
        <v>2040</v>
      </c>
    </row>
    <row r="21" spans="2:10">
      <c r="B21" s="10">
        <v>5</v>
      </c>
      <c r="E21" t="s">
        <v>228</v>
      </c>
      <c r="F21">
        <f>F20+5</f>
        <v>2035</v>
      </c>
      <c r="G21">
        <v>2040</v>
      </c>
      <c r="H21">
        <v>2050</v>
      </c>
      <c r="I21" s="27">
        <f t="shared" si="5"/>
        <v>2035</v>
      </c>
      <c r="J21">
        <v>2050</v>
      </c>
    </row>
    <row r="22" spans="2:10">
      <c r="B22" s="10">
        <v>5</v>
      </c>
      <c r="E22" t="s">
        <v>228</v>
      </c>
      <c r="F22">
        <f>F21+5</f>
        <v>2040</v>
      </c>
      <c r="G22">
        <v>2050</v>
      </c>
      <c r="I22" s="27">
        <f t="shared" si="5"/>
        <v>2040</v>
      </c>
      <c r="J22">
        <v>2060</v>
      </c>
    </row>
    <row r="23" spans="2:10">
      <c r="E23" t="s">
        <v>228</v>
      </c>
      <c r="F23">
        <f>F22+5</f>
        <v>2045</v>
      </c>
      <c r="I23" s="27">
        <f t="shared" si="5"/>
        <v>2045</v>
      </c>
      <c r="J23">
        <v>2070</v>
      </c>
    </row>
    <row r="24" spans="2:10">
      <c r="E24" t="s">
        <v>228</v>
      </c>
      <c r="F24">
        <f>F23+5</f>
        <v>2050</v>
      </c>
      <c r="I24" s="27">
        <f t="shared" si="5"/>
        <v>2050</v>
      </c>
      <c r="J24">
        <v>2080</v>
      </c>
    </row>
    <row r="25" spans="2:10">
      <c r="E25" s="27" t="s">
        <v>228</v>
      </c>
      <c r="I25">
        <f t="shared" si="5"/>
        <v>2055</v>
      </c>
    </row>
    <row r="26" spans="2:10">
      <c r="E26" s="27" t="s">
        <v>228</v>
      </c>
      <c r="I26" s="27">
        <f t="shared" ref="I26:I30" si="6">I25+5</f>
        <v>2060</v>
      </c>
    </row>
    <row r="27" spans="2:10">
      <c r="E27" s="27" t="s">
        <v>228</v>
      </c>
      <c r="I27" s="27">
        <f t="shared" si="6"/>
        <v>2065</v>
      </c>
    </row>
    <row r="28" spans="2:10">
      <c r="E28" s="27" t="s">
        <v>228</v>
      </c>
      <c r="I28" s="27">
        <f t="shared" si="6"/>
        <v>2070</v>
      </c>
    </row>
    <row r="29" spans="2:10">
      <c r="E29" s="27" t="s">
        <v>228</v>
      </c>
      <c r="I29" s="27">
        <f>I28+5</f>
        <v>2075</v>
      </c>
    </row>
    <row r="30" spans="2:10">
      <c r="E30" s="27" t="s">
        <v>228</v>
      </c>
      <c r="I30" s="27">
        <f t="shared" si="6"/>
        <v>2080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3:G4"/>
  <sheetViews>
    <sheetView workbookViewId="0">
      <selection activeCell="B4" sqref="B4"/>
    </sheetView>
  </sheetViews>
  <sheetFormatPr defaultColWidth="9.21875" defaultRowHeight="13.2"/>
  <cols>
    <col min="1" max="1" width="9.21875" customWidth="1"/>
    <col min="2" max="2" width="15.21875" bestFit="1" customWidth="1"/>
    <col min="3" max="3" width="11.21875" bestFit="1" customWidth="1"/>
    <col min="4" max="4" width="8.44140625" bestFit="1" customWidth="1"/>
    <col min="5" max="5" width="9.77734375" bestFit="1" customWidth="1"/>
    <col min="6" max="6" width="8.44140625" bestFit="1" customWidth="1"/>
    <col min="7" max="7" width="10.77734375" bestFit="1" customWidth="1"/>
    <col min="8" max="8" width="4.77734375" bestFit="1" customWidth="1"/>
    <col min="9" max="10" width="5" bestFit="1" customWidth="1"/>
  </cols>
  <sheetData>
    <row r="3" spans="2:7">
      <c r="B3" t="s">
        <v>25</v>
      </c>
    </row>
    <row r="4" spans="2:7" ht="13.8" thickBot="1">
      <c r="B4" s="25" t="s">
        <v>26</v>
      </c>
      <c r="C4" s="25" t="s">
        <v>27</v>
      </c>
      <c r="D4" s="25" t="s">
        <v>18</v>
      </c>
      <c r="E4" s="25" t="s">
        <v>48</v>
      </c>
      <c r="F4" s="25" t="s">
        <v>28</v>
      </c>
      <c r="G4" s="25" t="s">
        <v>13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E12"/>
  <sheetViews>
    <sheetView workbookViewId="0">
      <selection activeCell="B21" sqref="B21"/>
    </sheetView>
  </sheetViews>
  <sheetFormatPr defaultColWidth="8.77734375" defaultRowHeight="13.2"/>
  <cols>
    <col min="2" max="2" width="8.44140625" bestFit="1" customWidth="1"/>
    <col min="3" max="3" width="9.77734375" bestFit="1" customWidth="1"/>
    <col min="4" max="4" width="19.77734375" bestFit="1" customWidth="1"/>
    <col min="5" max="5" width="10.77734375" bestFit="1" customWidth="1"/>
  </cols>
  <sheetData>
    <row r="3" spans="3:5">
      <c r="C3" s="26" t="s">
        <v>12</v>
      </c>
    </row>
    <row r="4" spans="3:5" ht="13.8" thickBot="1">
      <c r="C4" s="25" t="s">
        <v>16</v>
      </c>
      <c r="D4" s="25" t="s">
        <v>160</v>
      </c>
      <c r="E4" s="25" t="s">
        <v>13</v>
      </c>
    </row>
    <row r="5" spans="3:5">
      <c r="C5" t="s">
        <v>161</v>
      </c>
      <c r="D5" t="s">
        <v>162</v>
      </c>
    </row>
    <row r="6" spans="3:5">
      <c r="C6" t="s">
        <v>161</v>
      </c>
      <c r="D6" t="s">
        <v>163</v>
      </c>
      <c r="E6">
        <v>1</v>
      </c>
    </row>
    <row r="7" spans="3:5">
      <c r="C7" t="s">
        <v>161</v>
      </c>
      <c r="D7" t="s">
        <v>164</v>
      </c>
      <c r="E7">
        <v>1</v>
      </c>
    </row>
    <row r="8" spans="3:5">
      <c r="C8" t="s">
        <v>161</v>
      </c>
      <c r="D8" t="s">
        <v>165</v>
      </c>
      <c r="E8">
        <v>0</v>
      </c>
    </row>
    <row r="9" spans="3:5">
      <c r="C9" t="s">
        <v>161</v>
      </c>
      <c r="D9" t="s">
        <v>166</v>
      </c>
      <c r="E9">
        <v>1</v>
      </c>
    </row>
    <row r="10" spans="3:5">
      <c r="C10" t="s">
        <v>161</v>
      </c>
      <c r="D10" t="s">
        <v>167</v>
      </c>
      <c r="E10">
        <v>1</v>
      </c>
    </row>
    <row r="11" spans="3:5">
      <c r="C11" t="s">
        <v>161</v>
      </c>
      <c r="D11" s="9" t="s">
        <v>196</v>
      </c>
      <c r="E11">
        <v>1</v>
      </c>
    </row>
    <row r="12" spans="3:5">
      <c r="C12" t="s">
        <v>161</v>
      </c>
      <c r="D12" t="s">
        <v>224</v>
      </c>
      <c r="E12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E695E-0252-4FD3-9E86-45A0B57F087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RTT</vt:lpstr>
      <vt:lpstr>Interpolation etc.</vt:lpstr>
      <vt:lpstr>Commodities</vt:lpstr>
      <vt:lpstr>Defaults</vt:lpstr>
      <vt:lpstr>TimePeriods</vt:lpstr>
      <vt:lpstr>UD_CG</vt:lpstr>
      <vt:lpstr>Reporting options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cp:lastPrinted>2001-09-28T20:39:50Z</cp:lastPrinted>
  <dcterms:created xsi:type="dcterms:W3CDTF">2001-09-28T18:48:17Z</dcterms:created>
  <dcterms:modified xsi:type="dcterms:W3CDTF">2021-12-17T17:30:41Z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535381495952606</vt:r8>
  </property>
</Properties>
</file>