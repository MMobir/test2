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MM\IEMM_MIG\XLSDataInput\"/>
    </mc:Choice>
  </mc:AlternateContent>
  <xr:revisionPtr revIDLastSave="0" documentId="13_ncr:1_{E9841BD6-790A-4AD3-BF3D-A76CE60AFE50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readme" sheetId="2" r:id="rId1"/>
    <sheet name="IEMM_StatesMap" sheetId="1" r:id="rId2"/>
  </sheets>
  <definedNames>
    <definedName name="_xlnm._FilterDatabase" localSheetId="1" hidden="1">IEMM_StatesMap!$A$1:$D$262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" i="1"/>
  <c r="L6" i="2" l="1"/>
  <c r="L7" i="2"/>
  <c r="L8" i="2"/>
  <c r="L9" i="2"/>
  <c r="L10" i="2"/>
  <c r="L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5" i="2"/>
  <c r="K6" i="2"/>
  <c r="K7" i="2"/>
  <c r="K8" i="2"/>
  <c r="K9" i="2"/>
  <c r="K10" i="2"/>
  <c r="K5" i="2"/>
  <c r="E206" i="2"/>
  <c r="E207" i="2" s="1"/>
  <c r="E208" i="2" s="1"/>
  <c r="E209" i="2" s="1"/>
  <c r="E210" i="2" s="1"/>
  <c r="E211" i="2" s="1"/>
  <c r="E212" i="2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5" i="2"/>
  <c r="E5" i="2" s="1"/>
  <c r="E6" i="2" s="1"/>
  <c r="E7" i="2" s="1"/>
  <c r="E8" i="2" s="1"/>
  <c r="E9" i="2" s="1"/>
  <c r="E10" i="2" s="1"/>
  <c r="E11" i="2" s="1"/>
  <c r="E12" i="2" s="1"/>
  <c r="E213" i="2" l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13" i="2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</calcChain>
</file>

<file path=xl/sharedStrings.xml><?xml version="1.0" encoding="utf-8"?>
<sst xmlns="http://schemas.openxmlformats.org/spreadsheetml/2006/main" count="2079" uniqueCount="1000">
  <si>
    <t>Country</t>
  </si>
  <si>
    <t>State</t>
  </si>
  <si>
    <t>abbreviation</t>
  </si>
  <si>
    <t>Brazil</t>
  </si>
  <si>
    <t>Acre</t>
  </si>
  <si>
    <t>AC</t>
  </si>
  <si>
    <t>Alagoas</t>
  </si>
  <si>
    <t>AL</t>
  </si>
  <si>
    <t>Amapa</t>
  </si>
  <si>
    <t>AP</t>
  </si>
  <si>
    <t>Amazonas</t>
  </si>
  <si>
    <t>AM</t>
  </si>
  <si>
    <t>Baia</t>
  </si>
  <si>
    <t>BA</t>
  </si>
  <si>
    <t>Ceara</t>
  </si>
  <si>
    <t>CE</t>
  </si>
  <si>
    <t>Distrito Federal</t>
  </si>
  <si>
    <t>DF</t>
  </si>
  <si>
    <t>Espirito Santo</t>
  </si>
  <si>
    <t>ES</t>
  </si>
  <si>
    <t>Fernando de Noronha</t>
  </si>
  <si>
    <t>FN</t>
  </si>
  <si>
    <t>Goias</t>
  </si>
  <si>
    <t>GO</t>
  </si>
  <si>
    <t>Maranhao</t>
  </si>
  <si>
    <t>MA</t>
  </si>
  <si>
    <t>Mato Grosso</t>
  </si>
  <si>
    <t>MT</t>
  </si>
  <si>
    <t>Mato Grosso do Sul</t>
  </si>
  <si>
    <t>MS</t>
  </si>
  <si>
    <t>Minas Gerais</t>
  </si>
  <si>
    <t>MG</t>
  </si>
  <si>
    <t>Para</t>
  </si>
  <si>
    <t>PA</t>
  </si>
  <si>
    <t>Paraiba</t>
  </si>
  <si>
    <t>PB</t>
  </si>
  <si>
    <t>Parana</t>
  </si>
  <si>
    <t>PR</t>
  </si>
  <si>
    <t>Pernambuco</t>
  </si>
  <si>
    <t>PE</t>
  </si>
  <si>
    <t>Piaui</t>
  </si>
  <si>
    <t>PI</t>
  </si>
  <si>
    <t>Rio de Janeiro</t>
  </si>
  <si>
    <t>RJ</t>
  </si>
  <si>
    <t>Rio Grande do Norte</t>
  </si>
  <si>
    <t>RN</t>
  </si>
  <si>
    <t>Rio Grande do Sul</t>
  </si>
  <si>
    <t>RS</t>
  </si>
  <si>
    <t>Rondonia</t>
  </si>
  <si>
    <t>RO</t>
  </si>
  <si>
    <t>Roraima</t>
  </si>
  <si>
    <t>RR</t>
  </si>
  <si>
    <t>Santa Catarina</t>
  </si>
  <si>
    <t>SC</t>
  </si>
  <si>
    <t>Sao Paulo</t>
  </si>
  <si>
    <t>SP</t>
  </si>
  <si>
    <t>Sergipe</t>
  </si>
  <si>
    <t>SE</t>
  </si>
  <si>
    <t>Tocatins</t>
  </si>
  <si>
    <t>TO</t>
  </si>
  <si>
    <t>Canada</t>
  </si>
  <si>
    <t>Alberta</t>
  </si>
  <si>
    <t>AB</t>
  </si>
  <si>
    <t>British Columbia</t>
  </si>
  <si>
    <t>BC</t>
  </si>
  <si>
    <t>Manitoba</t>
  </si>
  <si>
    <t>MB</t>
  </si>
  <si>
    <t>New Brunswick</t>
  </si>
  <si>
    <t>NB</t>
  </si>
  <si>
    <t>Newfoundland and Labrador</t>
  </si>
  <si>
    <t>NL</t>
  </si>
  <si>
    <t>Northwest Territories</t>
  </si>
  <si>
    <t>NT</t>
  </si>
  <si>
    <t>Nova Scotia</t>
  </si>
  <si>
    <t>NS</t>
  </si>
  <si>
    <t>Nunavut</t>
  </si>
  <si>
    <t>NU</t>
  </si>
  <si>
    <t>Ontario</t>
  </si>
  <si>
    <t>ON</t>
  </si>
  <si>
    <t>Prince Edward Island</t>
  </si>
  <si>
    <t>Quebec</t>
  </si>
  <si>
    <t>QC</t>
  </si>
  <si>
    <t>Saskatchewan</t>
  </si>
  <si>
    <t>SK</t>
  </si>
  <si>
    <t>Yukon Territory</t>
  </si>
  <si>
    <t>YT</t>
  </si>
  <si>
    <t>China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</si>
  <si>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</si>
  <si>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</si>
  <si>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</si>
  <si>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</si>
  <si>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</si>
  <si>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</si>
  <si>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</si>
  <si>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</si>
  <si>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</si>
  <si>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</si>
  <si>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</si>
  <si>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</si>
  <si>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</si>
  <si>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</si>
  <si>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</si>
  <si>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Jiangsu</t>
  </si>
  <si>
    <t>Jiangxi</t>
  </si>
  <si>
    <t>Jilin</t>
  </si>
  <si>
    <t>Liaoning</t>
  </si>
  <si>
    <t>Macau</t>
  </si>
  <si>
    <t>Neia Mongol (mn)</t>
  </si>
  <si>
    <t>Qinghai</t>
  </si>
  <si>
    <t>Shaanxi</t>
  </si>
  <si>
    <t>Shandong</t>
  </si>
  <si>
    <t>Shanghai</t>
  </si>
  <si>
    <t>Shanxi</t>
  </si>
  <si>
    <t>Sichuan</t>
  </si>
  <si>
    <t>Taiwan</t>
  </si>
  <si>
    <t>Tianjin</t>
  </si>
  <si>
    <t>Xinjiang</t>
  </si>
  <si>
    <t>Xizang</t>
  </si>
  <si>
    <t>Yunnan</t>
  </si>
  <si>
    <t>Zhejiang</t>
  </si>
  <si>
    <t>India</t>
  </si>
  <si>
    <t>Andaman and Nicobar Islands</t>
  </si>
  <si>
    <t>AN</t>
  </si>
  <si>
    <t>Andhra Pradesh</t>
  </si>
  <si>
    <t>Arunachal Pradesh</t>
  </si>
  <si>
    <t>AR</t>
  </si>
  <si>
    <t>Assam</t>
  </si>
  <si>
    <t>AS</t>
  </si>
  <si>
    <t>Bihar</t>
  </si>
  <si>
    <t>BR</t>
  </si>
  <si>
    <t>Chhattisgarh</t>
  </si>
  <si>
    <t>CH</t>
  </si>
  <si>
    <t>Dadra and Nagar Haveli</t>
  </si>
  <si>
    <t>DN</t>
  </si>
  <si>
    <t>Daman and Diu</t>
  </si>
  <si>
    <t>DD</t>
  </si>
  <si>
    <t>Delhi</t>
  </si>
  <si>
    <t>DL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</si>
  <si>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</si>
  <si>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</si>
  <si>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</si>
  <si>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</si>
  <si>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</si>
  <si>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</si>
  <si>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</si>
  <si>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</si>
  <si>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</si>
  <si>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</si>
  <si>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</si>
  <si>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</si>
  <si>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</si>
  <si>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</si>
  <si>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</si>
  <si>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</si>
  <si>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Lakshadweep</t>
  </si>
  <si>
    <t>LD</t>
  </si>
  <si>
    <t>Madhya Pradesh</t>
  </si>
  <si>
    <t>MP</t>
  </si>
  <si>
    <t>Maharashtra</t>
  </si>
  <si>
    <t>Manipur</t>
  </si>
  <si>
    <t>MN</t>
  </si>
  <si>
    <t>Meghalaya</t>
  </si>
  <si>
    <t>ML</t>
  </si>
  <si>
    <t>Mizoram</t>
  </si>
  <si>
    <t>MZ</t>
  </si>
  <si>
    <t>Nagaland</t>
  </si>
  <si>
    <t>Orissa</t>
  </si>
  <si>
    <t>OR</t>
  </si>
  <si>
    <t>Pondicherry</t>
  </si>
  <si>
    <t>PY</t>
  </si>
  <si>
    <t>Punjab</t>
  </si>
  <si>
    <t>Rajasthan</t>
  </si>
  <si>
    <t>Sikkim</t>
  </si>
  <si>
    <t>Tamil Nadu</t>
  </si>
  <si>
    <t>TN</t>
  </si>
  <si>
    <t>Tripura</t>
  </si>
  <si>
    <t>TR</t>
  </si>
  <si>
    <t>Uttar Pradesh</t>
  </si>
  <si>
    <t>UP</t>
  </si>
  <si>
    <t>Uttaranchal</t>
  </si>
  <si>
    <t>West Bengal</t>
  </si>
  <si>
    <t>WB</t>
  </si>
  <si>
    <t>Adygeya, Respublika</t>
  </si>
  <si>
    <t>AD</t>
  </si>
  <si>
    <t>Aginskiy Buryatskiy avtonomnyy</t>
  </si>
  <si>
    <t>AGB</t>
  </si>
  <si>
    <t>Altay, Respublika</t>
  </si>
  <si>
    <t>Altayskiy kray</t>
  </si>
  <si>
    <t>ALT</t>
  </si>
  <si>
    <t>Amurskaya oblast'</t>
  </si>
  <si>
    <t>AMU</t>
  </si>
  <si>
    <t>Arkhangel'skaya oblast'</t>
  </si>
  <si>
    <t>ARK</t>
  </si>
  <si>
    <t>Astrakhanskaya oblast'</t>
  </si>
  <si>
    <t>AST</t>
  </si>
  <si>
    <t>Bashkortostan, Respublika</t>
  </si>
  <si>
    <t>Belgorodskaya oblast'</t>
  </si>
  <si>
    <t>BEL</t>
  </si>
  <si>
    <t>Bryanskaya oblast'</t>
  </si>
  <si>
    <t>BRY</t>
  </si>
  <si>
    <t>Buryatiya, Respublika</t>
  </si>
  <si>
    <t>BU</t>
  </si>
  <si>
    <t>Chechenskaya Respublika</t>
  </si>
  <si>
    <t>Chelyabinskaya oblast'</t>
  </si>
  <si>
    <t>CHE</t>
  </si>
  <si>
    <t>Chitinskaya oblast'</t>
  </si>
  <si>
    <t>CHI</t>
  </si>
  <si>
    <t>Chukotskiy avtonomnyy okrug</t>
  </si>
  <si>
    <t>CHU</t>
  </si>
  <si>
    <t>Chuvashskaya Respublika</t>
  </si>
  <si>
    <t>CU</t>
  </si>
  <si>
    <t>Dagestan, Respublika</t>
  </si>
  <si>
    <t>DA</t>
  </si>
  <si>
    <t>Evenkiyskiy avtonomnyy okrug</t>
  </si>
  <si>
    <t>EVE</t>
  </si>
  <si>
    <t>Ingushskaya Respublika</t>
  </si>
  <si>
    <t>IN</t>
  </si>
  <si>
    <t>Irkutskaya oblast'</t>
  </si>
  <si>
    <t>IRK</t>
  </si>
  <si>
    <t>Ivanovskaya oblast'</t>
  </si>
  <si>
    <t>IVA</t>
  </si>
  <si>
    <t>Kabardino-Balkarskaya</t>
  </si>
  <si>
    <t>KB</t>
  </si>
  <si>
    <t>Kaliningradskaya oblast'</t>
  </si>
  <si>
    <t>KGD</t>
  </si>
  <si>
    <t>Kalmykiya, Respublika</t>
  </si>
  <si>
    <t>Kaluzhskaya oblast'</t>
  </si>
  <si>
    <t>KLU</t>
  </si>
  <si>
    <t>Kamchatskaya oblast'</t>
  </si>
  <si>
    <t>KAM</t>
  </si>
  <si>
    <t>Karachayevo-Cherkesskaya Respublika</t>
  </si>
  <si>
    <t>KC</t>
  </si>
  <si>
    <t>Kareliya, Respublika</t>
  </si>
  <si>
    <t>KR</t>
  </si>
  <si>
    <t>Kemerovskaya oblast'</t>
  </si>
  <si>
    <t>KEM</t>
  </si>
  <si>
    <t>Khabarovskiy kray</t>
  </si>
  <si>
    <t>KHA</t>
  </si>
  <si>
    <t>Khakasiya, Respublika</t>
  </si>
  <si>
    <t>KK</t>
  </si>
  <si>
    <t>Khanty-Mansiyskiy avtonomnyy okrug</t>
  </si>
  <si>
    <t>KHM</t>
  </si>
  <si>
    <t>Kirovskaya oblast'</t>
  </si>
  <si>
    <t>KIR</t>
  </si>
  <si>
    <t>Komi, Respublika</t>
  </si>
  <si>
    <t>KO</t>
  </si>
  <si>
    <t>Komi-Permyatskiy avtonomnyy okrug</t>
  </si>
  <si>
    <t>KOP</t>
  </si>
  <si>
    <t>Koryakskiy avtonomnyy okrug</t>
  </si>
  <si>
    <t>KOR</t>
  </si>
  <si>
    <t>Kostromskaya oblast'</t>
  </si>
  <si>
    <t>KOS</t>
  </si>
  <si>
    <t>Krasnodarskiy kray</t>
  </si>
  <si>
    <t>KDA</t>
  </si>
  <si>
    <t>Krasnoyarskiy kray</t>
  </si>
  <si>
    <t>KYA</t>
  </si>
  <si>
    <t>Kurganskaya oblast'</t>
  </si>
  <si>
    <t>KGN</t>
  </si>
  <si>
    <t>Kurskaya oblast'</t>
  </si>
  <si>
    <t>KRS</t>
  </si>
  <si>
    <t>Leningradskaya oblast'</t>
  </si>
  <si>
    <t>LEN</t>
  </si>
  <si>
    <t>Lipetskaya oblast'</t>
  </si>
  <si>
    <t>LIP</t>
  </si>
  <si>
    <t>Magadanskaya oblast'</t>
  </si>
  <si>
    <t>MAG</t>
  </si>
  <si>
    <t>Mariy El, Respublika</t>
  </si>
  <si>
    <t>ME</t>
  </si>
  <si>
    <t>Mordoviya, Respublika</t>
  </si>
  <si>
    <t>MO</t>
  </si>
  <si>
    <t>Moskovskaya oblast'</t>
  </si>
  <si>
    <t>MOS</t>
  </si>
  <si>
    <t>Moskva</t>
  </si>
  <si>
    <t>MOW</t>
  </si>
  <si>
    <t>Murmanskaya oblast'</t>
  </si>
  <si>
    <t>MUR</t>
  </si>
  <si>
    <t>Nenetskiy avtonomnyy okrug</t>
  </si>
  <si>
    <t>NEN</t>
  </si>
  <si>
    <t>Nizhegorodskaya oblast'</t>
  </si>
  <si>
    <t>NIZ</t>
  </si>
  <si>
    <t>Novgorodskaya oblast'</t>
  </si>
  <si>
    <t>NGR</t>
  </si>
  <si>
    <t>Novosibirskaya oblast'</t>
  </si>
  <si>
    <t>NVS</t>
  </si>
  <si>
    <t>Omskaya oblast'</t>
  </si>
  <si>
    <t>OMS</t>
  </si>
  <si>
    <t>Orenburgskaya oblast'</t>
  </si>
  <si>
    <t>ORE</t>
  </si>
  <si>
    <t>Orlovskaya oblast'</t>
  </si>
  <si>
    <t>ORL</t>
  </si>
  <si>
    <t>Penzenskaya oblast'</t>
  </si>
  <si>
    <t>PNZ</t>
  </si>
  <si>
    <t>Permskaya oblast'</t>
  </si>
  <si>
    <t>PER</t>
  </si>
  <si>
    <t>Primorskiy kray</t>
  </si>
  <si>
    <t>PRI</t>
  </si>
  <si>
    <t>Pskovskaya oblast'</t>
  </si>
  <si>
    <t>PSK</t>
  </si>
  <si>
    <t>Rostovskaya oblast'</t>
  </si>
  <si>
    <t>ROS</t>
  </si>
  <si>
    <t>Ryazanskaya oblast'</t>
  </si>
  <si>
    <t>RYA</t>
  </si>
  <si>
    <t>Sakha, Respublika [Yakutiya]</t>
  </si>
  <si>
    <t>SA</t>
  </si>
  <si>
    <t>Sakhalinskaya oblast'</t>
  </si>
  <si>
    <t>SAK</t>
  </si>
  <si>
    <t>Samarskaya oblast'</t>
  </si>
  <si>
    <t>SAM</t>
  </si>
  <si>
    <t>Sankt-Peterburg</t>
  </si>
  <si>
    <t>SPE</t>
  </si>
  <si>
    <t>Saratovskaya oblast'</t>
  </si>
  <si>
    <t>SAR</t>
  </si>
  <si>
    <t>Severnaya Osetiya, Respublika</t>
  </si>
  <si>
    <t>Smolenskaya oblast'</t>
  </si>
  <si>
    <t>SMO</t>
  </si>
  <si>
    <t>Stavropol'skiy kray</t>
  </si>
  <si>
    <t>STA</t>
  </si>
  <si>
    <t>Sverdlovskaya oblast'</t>
  </si>
  <si>
    <t>SVE</t>
  </si>
  <si>
    <t>Tambovskaya oblast'</t>
  </si>
  <si>
    <t>TAM</t>
  </si>
  <si>
    <t>Tatarstan, Respublika</t>
  </si>
  <si>
    <t>TA</t>
  </si>
  <si>
    <t>Taymyrskiy (Dolgano-Nenetskiy)</t>
  </si>
  <si>
    <t>TAY</t>
  </si>
  <si>
    <t>Tomskaya oblast'</t>
  </si>
  <si>
    <t>TOM</t>
  </si>
  <si>
    <t>Tul'skaya oblast'</t>
  </si>
  <si>
    <t>TUL</t>
  </si>
  <si>
    <t>Tverskaya oblast'</t>
  </si>
  <si>
    <t>TVE</t>
  </si>
  <si>
    <t>Tyumenskaya oblast'</t>
  </si>
  <si>
    <t>TYU</t>
  </si>
  <si>
    <t>Tyva, Respublika [Tuva]</t>
  </si>
  <si>
    <t>TY</t>
  </si>
  <si>
    <t>Udmurtskaya Respublika</t>
  </si>
  <si>
    <t>UD</t>
  </si>
  <si>
    <t>Ul'yanovskaya oblast'</t>
  </si>
  <si>
    <t>ULY</t>
  </si>
  <si>
    <t>Ust'-Ordynskiy Buryatskiy</t>
  </si>
  <si>
    <t>UOB</t>
  </si>
  <si>
    <t>Vladimirskaya oblast'</t>
  </si>
  <si>
    <t>VLA</t>
  </si>
  <si>
    <t>Volgogradskaya oblast'</t>
  </si>
  <si>
    <t>VGG</t>
  </si>
  <si>
    <t>Vologodskaya oblast'</t>
  </si>
  <si>
    <t>VLG</t>
  </si>
  <si>
    <t>Voronezhskaya oblast'</t>
  </si>
  <si>
    <t>VOR</t>
  </si>
  <si>
    <t>Yamalo-Nenetskiy avtonomnyy okrug</t>
  </si>
  <si>
    <t>YAN</t>
  </si>
  <si>
    <t>Yaroslavskaya oblast'</t>
  </si>
  <si>
    <t>YAR</t>
  </si>
  <si>
    <t>Yevreyskaya avtonomnaya oblast'</t>
  </si>
  <si>
    <t>YEV</t>
  </si>
  <si>
    <t>United States</t>
  </si>
  <si>
    <t>Alabama</t>
  </si>
  <si>
    <t>Alaska</t>
  </si>
  <si>
    <t>AK</t>
  </si>
  <si>
    <t>American Samoa</t>
  </si>
  <si>
    <t>Arizona</t>
  </si>
  <si>
    <t>AZ</t>
  </si>
  <si>
    <t>Arkansas</t>
  </si>
  <si>
    <t>Armed Forces Americas</t>
  </si>
  <si>
    <t>AA</t>
  </si>
  <si>
    <t>Armed Forces Europe</t>
  </si>
  <si>
    <t>AE</t>
  </si>
  <si>
    <t>Armed Forces Pacific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</si>
  <si>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</si>
  <si>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</si>
  <si>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</si>
  <si>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</si>
  <si>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</si>
  <si>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</si>
  <si>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</si>
  <si>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</si>
  <si>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</si>
  <si>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</si>
  <si>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</si>
  <si>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</si>
  <si>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</si>
  <si>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Guam</t>
  </si>
  <si>
    <t>GU</t>
  </si>
  <si>
    <t>Hawaii</t>
  </si>
  <si>
    <t>HI</t>
  </si>
  <si>
    <t>Idaho</t>
  </si>
  <si>
    <t>ID</t>
  </si>
  <si>
    <t>Illinois</t>
  </si>
  <si>
    <t>IL</t>
  </si>
  <si>
    <t>Indiana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</si>
  <si>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</si>
  <si>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</si>
  <si>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</si>
  <si>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</si>
  <si>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</si>
  <si>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</si>
  <si>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</si>
  <si>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</si>
  <si>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</si>
  <si>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Maryland</t>
  </si>
  <si>
    <t>MD</t>
  </si>
  <si>
    <t>Massachusetts</t>
  </si>
  <si>
    <t>Michigan</t>
  </si>
  <si>
    <t>MI</t>
  </si>
  <si>
    <t>Minnesota</t>
  </si>
  <si>
    <t>Mississippi</t>
  </si>
  <si>
    <t>Missouri</t>
  </si>
  <si>
    <t>Montana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</si>
  <si>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</si>
  <si>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</si>
  <si>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</si>
  <si>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</si>
  <si>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</si>
  <si>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</si>
  <si>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</si>
  <si>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</si>
  <si>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</si>
  <si>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</si>
  <si>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</si>
  <si>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</si>
  <si>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</si>
  <si>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</si>
  <si>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</si>
  <si>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</si>
  <si>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Northern Mariana Islands</t>
  </si>
  <si>
    <t>Ohio</t>
  </si>
  <si>
    <t>OH</t>
  </si>
  <si>
    <t>Oklahoma</t>
  </si>
  <si>
    <t>OK</t>
  </si>
  <si>
    <t>Oregon</t>
  </si>
  <si>
    <t>Pennsylvania</t>
  </si>
  <si>
    <t>Puerto Rico</t>
  </si>
  <si>
    <t>Rhode Island</t>
  </si>
  <si>
    <t>RI</t>
  </si>
  <si>
    <t>South Carolina</t>
  </si>
  <si>
    <t>South Dakota</t>
  </si>
  <si>
    <t>SD</t>
  </si>
  <si>
    <t>Tennessee</t>
  </si>
  <si>
    <t>Texas</t>
  </si>
  <si>
    <t>TX</t>
  </si>
  <si>
    <t>United States Minor Outlying Islands</t>
  </si>
  <si>
    <t>UM</t>
  </si>
  <si>
    <t>Utah</t>
  </si>
  <si>
    <t>UT</t>
  </si>
  <si>
    <t>Vermont</t>
  </si>
  <si>
    <t>VT</t>
  </si>
  <si>
    <t>Virgin Islands</t>
  </si>
  <si>
    <t>VI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</si>
  <si>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</si>
  <si>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</si>
  <si>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</si>
  <si>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</si>
  <si>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</si>
  <si>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</si>
  <si>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</si>
  <si>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</si>
  <si>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</si>
  <si>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</si>
  <si>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Telangana</t>
  </si>
  <si>
    <t>Russia</t>
  </si>
  <si>
    <t>Alias</t>
  </si>
  <si>
    <t>Ningxia</t>
  </si>
  <si>
    <t>AH</t>
  </si>
  <si>
    <t>BJ</t>
  </si>
  <si>
    <t>CQ</t>
  </si>
  <si>
    <t>FJ</t>
  </si>
  <si>
    <t>GD</t>
  </si>
  <si>
    <t>GS</t>
  </si>
  <si>
    <t>GX</t>
  </si>
  <si>
    <t>GZ</t>
  </si>
  <si>
    <t>HN</t>
  </si>
  <si>
    <t>HE</t>
  </si>
  <si>
    <t>HL</t>
  </si>
  <si>
    <t>HK</t>
  </si>
  <si>
    <t>HB</t>
  </si>
  <si>
    <t>HA</t>
  </si>
  <si>
    <t>JS</t>
  </si>
  <si>
    <t>JX</t>
  </si>
  <si>
    <t>JL</t>
  </si>
  <si>
    <t>LN</t>
  </si>
  <si>
    <t>NX</t>
  </si>
  <si>
    <t>QH</t>
  </si>
  <si>
    <t>SN</t>
  </si>
  <si>
    <t>SH</t>
  </si>
  <si>
    <t>SX</t>
  </si>
  <si>
    <t>TW</t>
  </si>
  <si>
    <t>TJ</t>
  </si>
  <si>
    <t>XJ</t>
  </si>
  <si>
    <t>XZ</t>
  </si>
  <si>
    <t>YN</t>
  </si>
  <si>
    <t>ZJ</t>
  </si>
  <si>
    <t>TG</t>
  </si>
  <si>
    <t>Zabaykalsky Krai</t>
  </si>
  <si>
    <t>ZAB</t>
  </si>
  <si>
    <t>Chandigarh</t>
  </si>
  <si>
    <t>MH</t>
  </si>
  <si>
    <t>~Acre~AC~~~~~</t>
  </si>
  <si>
    <t>~Alagoas~AL~~~~~</t>
  </si>
  <si>
    <t>~Amazonas~AM~~~~~</t>
  </si>
  <si>
    <t>~Baia~BA~Bahia~~~~</t>
  </si>
  <si>
    <t>~Distrito Federal~DF~~~~~</t>
  </si>
  <si>
    <t>~Fernando de Noronha~FN~~~~~</t>
  </si>
  <si>
    <t>~Minas Gerais~MG~~~~~</t>
  </si>
  <si>
    <t>~Mato Grosso do Sul~MS~MS-CEP~~~~</t>
  </si>
  <si>
    <t>~Mato Grosso~MT~~~~~</t>
  </si>
  <si>
    <t>~Pernambuco~PE~PERNAMBUCO~~~~</t>
  </si>
  <si>
    <t>~Rio de Janeiro~RJ~~~~~</t>
  </si>
  <si>
    <t>~Rio Grande do Norte~RN~~~~~</t>
  </si>
  <si>
    <t>~Roraima~RR~~~~~</t>
  </si>
  <si>
    <t>~Rio Grande do Sul~RS~~~~~</t>
  </si>
  <si>
    <t>~Santa Catarina~SC~~~~~</t>
  </si>
  <si>
    <t>~Sergipe~SE~~~~~</t>
  </si>
  <si>
    <t>~Tocatins~TO~TOCANTINS~~~~</t>
  </si>
  <si>
    <t>~Alberta~AB~~~~~</t>
  </si>
  <si>
    <t>~British Columbia~BC~~~~~</t>
  </si>
  <si>
    <t>~Manitoba~MB~~~~~</t>
  </si>
  <si>
    <t>~New Brunswick~NB~~~~~</t>
  </si>
  <si>
    <t>~Newfoundland and Labrador~NL~Newfoundland~~~~</t>
  </si>
  <si>
    <t>~Nova Scotia~NS~~~~~</t>
  </si>
  <si>
    <t>~Northwest Territories~NT~~~~~</t>
  </si>
  <si>
    <t>~Nunavut~NU~~~~~</t>
  </si>
  <si>
    <t>~Ontario~ON~~~~~</t>
  </si>
  <si>
    <t>~Prince Edward Island~PE~~~~~</t>
  </si>
  <si>
    <t>~Quebec~QC~Québec~~~~</t>
  </si>
  <si>
    <t>~Saskatchewan~SK~~~~~</t>
  </si>
  <si>
    <t>~Yukon Territory~YT~YK~Yukon~~~</t>
  </si>
  <si>
    <t>~Anhui~AH~Anhuui~~~~</t>
  </si>
  <si>
    <t>~Beijing~BJ~~~~~</t>
  </si>
  <si>
    <t>~Chongqing~CQ~~~~~</t>
  </si>
  <si>
    <t>~Fujian~FJ~~~~~</t>
  </si>
  <si>
    <t>~Guangdong~GD~~~~~</t>
  </si>
  <si>
    <t>~Gansu~GS~Gaansu~~~~</t>
  </si>
  <si>
    <t>~Guangxi~GX~~~~~</t>
  </si>
  <si>
    <t>~Guizhou~GZ~~~~~</t>
  </si>
  <si>
    <t>~Henan~HA~~~~~</t>
  </si>
  <si>
    <t>~Hubei~HB~~~~~</t>
  </si>
  <si>
    <t>~Hebei~HE~Hebel~~~~</t>
  </si>
  <si>
    <t>~Hainan~HI~~~~~</t>
  </si>
  <si>
    <t>~Hong Kong~HK~HongKong~Xiānggǎng~~~</t>
  </si>
  <si>
    <t>~Heilongjiang~HL~~~~~</t>
  </si>
  <si>
    <t>~Hunan~HN~~~~~</t>
  </si>
  <si>
    <t>~Jilin~JL~~~~~</t>
  </si>
  <si>
    <t>~Jiangsu~JS~~~~~</t>
  </si>
  <si>
    <t>~Jiangxi~JX~~~~~</t>
  </si>
  <si>
    <t>~Liaoning~LN~~~~~</t>
  </si>
  <si>
    <t>~Macau~MO~Macao~Aomen~~~</t>
  </si>
  <si>
    <t>~Neia Mongol (mn)~NM~Inner Mongoli~Inner Mongolia~Nei Mongol~~</t>
  </si>
  <si>
    <t>~Ningxia~NX~Ningxia Hui~Níngxià~~~</t>
  </si>
  <si>
    <t>~Qinghai~QH~~~~~</t>
  </si>
  <si>
    <t>~Sichuan~SC~Sìchuān~~~~</t>
  </si>
  <si>
    <t>~Shandong~SD~Shāndōng~~~~</t>
  </si>
  <si>
    <t>~Shanghai~SH~Shànghǎi~~~~</t>
  </si>
  <si>
    <t>~Shaanxi~SN~Shaaxi~~~~</t>
  </si>
  <si>
    <t>~Shanxi~SX~Shānxī~~~~</t>
  </si>
  <si>
    <t>~Tianjin~TJ~Tiānjīn~~~~</t>
  </si>
  <si>
    <t>~Taiwan~TW~Táiwān~~~~</t>
  </si>
  <si>
    <t>~Xinjiang~XJ~Xīnjiāng~Xinjiang Uygur~~~</t>
  </si>
  <si>
    <t>~Xizang~XZ~Xīzàng~Tibet~~~</t>
  </si>
  <si>
    <t>~Yunnan~YN~Yúnnán~~~~</t>
  </si>
  <si>
    <t>~Zhejiang~ZJ~Zhèjiāng~~~~</t>
  </si>
  <si>
    <t>~Andaman and Nicobar Islands~AN~Andaman &amp; Nicobar Is~ANDAMAN AND NICOBAR ISLANDS UNION TERRITORY~Andaman &amp; Nicobar~ANDMAN &amp; NICOBAR~</t>
  </si>
  <si>
    <t>~Andhra Pradesh~AP~Andhra Prades~~~~</t>
  </si>
  <si>
    <t>~Arunachal Pradesh~AR~~~~~</t>
  </si>
  <si>
    <t>~Assam~AS~~~~~</t>
  </si>
  <si>
    <t>~Bihar~BR~~~~~</t>
  </si>
  <si>
    <t>~Chandigarh~CH~CHANDIGARH UNION TERRITORY~~~~</t>
  </si>
  <si>
    <t>~Chhattisgarh~CT~Chattisgarh~~~~</t>
  </si>
  <si>
    <t>~Daman and Diu~DD~DAMAN AND DIU UNION TERRITORY~~~~</t>
  </si>
  <si>
    <t>~Delhi~DL~NATIONAL CAPITAL TERRITORY OF DELHI UNION TERRITORY~New Delhi~~~</t>
  </si>
  <si>
    <t>~Dadra and Nagar Haveli~DN~DADRA AND NAGAR HAVELI UNION TERRITORY~~~~</t>
  </si>
  <si>
    <t>~Goa~GA~~~~~</t>
  </si>
  <si>
    <t>~Gujarat~GJ~~~~~</t>
  </si>
  <si>
    <t>~Himachal Pradesh~HP~~~~~</t>
  </si>
  <si>
    <t>~Haryana~HR~~~~~</t>
  </si>
  <si>
    <t>~Jharkhand~JH~~~~~</t>
  </si>
  <si>
    <t>~Jammu and Kashmir~JK~Jammu &amp; Kashmir~~~~</t>
  </si>
  <si>
    <t>~Karnataka~KA~~~~~</t>
  </si>
  <si>
    <t>~Kerala~KL~~~~~</t>
  </si>
  <si>
    <t>~Lakshadweep~LD~Lakshadweel UT~LAKSHADWEEP UNION TERRITORY~~~</t>
  </si>
  <si>
    <t>~Meghalaya~ML~~~~~</t>
  </si>
  <si>
    <t>~Maharashtra~MH~Maharastra~MM~~~</t>
  </si>
  <si>
    <t>~Manipur~MN~~~~~</t>
  </si>
  <si>
    <t>~Madhya Pradesh~MP~~~~~</t>
  </si>
  <si>
    <t>~Mizoram~MZ~~~~~</t>
  </si>
  <si>
    <t>~Nagaland~NL~~~~~</t>
  </si>
  <si>
    <t>~Orissa~OR~Odisha~Odisa~~~</t>
  </si>
  <si>
    <t>~Punjab~PB~~~~~</t>
  </si>
  <si>
    <t>~Pondicherry~PY~Puducherry~PUDUCHERRY UNION TERRITORY~~~</t>
  </si>
  <si>
    <t>~Rajasthan~RJ~~~~~</t>
  </si>
  <si>
    <t>~Sikkim~SK~~~~~</t>
  </si>
  <si>
    <t>~Telangana~TG~~~~~</t>
  </si>
  <si>
    <t>~Tamil Nadu~TN~~~~~</t>
  </si>
  <si>
    <t>~Tripura~TR~~~~~</t>
  </si>
  <si>
    <t>~Uttaranchal~UT~Uttarakhand~UL~Uttranchal~~</t>
  </si>
  <si>
    <t>~Uttar Pradesh~UP~~~~~</t>
  </si>
  <si>
    <t>~West Bengal~WB~~~~~</t>
  </si>
  <si>
    <t>~Adygeya, Respublika~AD~Adygey Republic~ADYGEA~Respublika Adygeya~Adygey~</t>
  </si>
  <si>
    <t>~Aginskiy Buryatskiy avtonomnyy~AGB~~~~~</t>
  </si>
  <si>
    <t>~Altay, Respublika~AL~ALTAI~Respublika Altay~Altay~~</t>
  </si>
  <si>
    <t>~Altayskiy kray~ALT~Altay Krai~~~~</t>
  </si>
  <si>
    <t>~Amurskaya oblast'~AMU~Amur Oblast~Amur~~~</t>
  </si>
  <si>
    <t>~Arkhangel'skaya oblast'~ARK~Arkhangelsk~Arkhangelsk Oblast~Arkhangel'sk~~</t>
  </si>
  <si>
    <t>~Astrakhanskaya oblast'~AST~Astrakhan Oblast~Astrakhan'~~~</t>
  </si>
  <si>
    <t>~Bashkortostan, Respublika~BA~Bashkortostan~Bashkortostan Republic~BASHKORTOSTAN~Respublika Bashkortostan~</t>
  </si>
  <si>
    <t>~Belgorodskaya oblast'~BEL~Belgorod~Belgorod Oblast~~~</t>
  </si>
  <si>
    <t>~Bryanskaya oblast'~BRY~Bryansk Oblast~Bryansk~~~</t>
  </si>
  <si>
    <t>~Buryatiya, Respublika~BU~Buryatia Republic~BURYATIA~Respublika Buryatiya~Buryat~</t>
  </si>
  <si>
    <t>~Chechenskaya Respublika~CE~Chechen Republic~CHECHNYA~~~</t>
  </si>
  <si>
    <t>~Chelyabinskaya oblast'~CHE~Chelyabinsk Oblast~Chelyabinsk~~~</t>
  </si>
  <si>
    <t>~Chitinskaya oblast'~CHI~~~~~</t>
  </si>
  <si>
    <t>~Chukotskiy avtonomnyy okrug~CHU~Chukotsk AO~Chukot~~~</t>
  </si>
  <si>
    <t>~Chuvashskaya Respublika~CU~Chuvash Republic~CHUVASHIA~Chuvash~~</t>
  </si>
  <si>
    <t>~Dagestan, Respublika~DA~Dagestan Republic~DAGESTAN~Respublika Dagestan~~</t>
  </si>
  <si>
    <t>~Evenkiyskiy avtonomnyy okrug~EVE~~~~~</t>
  </si>
  <si>
    <t>~Ingushskaya Respublika~IN~INGUSHETIA~Ingush~~~</t>
  </si>
  <si>
    <t>~Irkutskaya oblast'~IRK~Irkutsk Oblast~Irkutsk~~~</t>
  </si>
  <si>
    <t>~Ivanovskaya oblast'~IVA~Ivanovo Oblast~Ivanovo~~~</t>
  </si>
  <si>
    <t>~Kamchatskaya oblast'~KAM~Kamchatka Krai~Kamchatka~~~</t>
  </si>
  <si>
    <t>~Kabardino-Balkarskaya~KB~Kabardino-Balkar Republic~KABARDINO-BALKARIA~Kabardino-Balkarskaya Resp.~Kabardino-Balkarskaya Resp.~Kabardin-Balkar~</t>
  </si>
  <si>
    <t>~Karachayevo-Cherkesskaya Respublika~KC~Karachay-Cherkess Republic~KARACHAY-CHERKESSIA~Karachayevo-Cherkesskaya Resp.~Karachay-Cherkess~</t>
  </si>
  <si>
    <t>~Krasnodarskiy kray~KDA~Krasnodar Krai~Krasnodar~~~</t>
  </si>
  <si>
    <t>~Kemerovskaya oblast'~KEM~Kemerovo Oblast~Kemerovo~~~</t>
  </si>
  <si>
    <t>~Kaliningradskaya oblast'~KGD~Kaliningrad Oblast~Kaliningrad~~~</t>
  </si>
  <si>
    <t>~Kurganskaya oblast'~KGN~Kurgan Oblast~Kurgan~~~</t>
  </si>
  <si>
    <t>~Khabarovskiy kray~KHA~Khabarovsk Krai~Khabarovsk Oblast~Khabarovsk~~</t>
  </si>
  <si>
    <t>~Khanty-Mansiyskiy avtonomnyy okrug~KHM~Khanty-Mansi AO~Khanty-Mansiy~~~</t>
  </si>
  <si>
    <t>~Kirovskaya oblast'~KIR~Kirov Oblast~Kirov~~~</t>
  </si>
  <si>
    <t>~Khakasiya, Respublika~KK~Khakass Republic~KHAKASSIA~Khakassia Republic~Khakass~</t>
  </si>
  <si>
    <t>~Kalmykiya, Respublika~KL~Kalmyk Republic~KALMYKIA~Kalmykiya-Khal'mg Tangch~Kalmyk~</t>
  </si>
  <si>
    <t>~Kaluzhskaya oblast'~KLU~Kaluga Oblast~Kaluga~~~</t>
  </si>
  <si>
    <t>~Komi, Respublika~KO~Kmoi Republic~Komi Republic~KOMI~Respublika Komi~</t>
  </si>
  <si>
    <t>~Komi-Permyatskiy avtonomnyy okrug~KOP~~~~~</t>
  </si>
  <si>
    <t>~Koryakskiy avtonomnyy okrug~KOR~~~~~</t>
  </si>
  <si>
    <t>~Kostromskaya oblast'~KOS~Kostroma Oblast~Kostroma~~~</t>
  </si>
  <si>
    <t>~Kareliya, Respublika~KR~Karelia Republic~KARELIA~Respublika Kareliya~~</t>
  </si>
  <si>
    <t>~Kurskaya oblast'~KRS~Kursk~Kursk Oblast~~~</t>
  </si>
  <si>
    <t>~Krasnoyarskiy kray~KYA~Krasnoyarsk Krai~Krasnoyarsk~~~</t>
  </si>
  <si>
    <t>~Leningradskaya oblast'~LEN~Leningrad Oblast~Leningrad~~~</t>
  </si>
  <si>
    <t>~Lipetskaya oblast'~LIP~Lipetsk Oblast~Lipetsk~~~</t>
  </si>
  <si>
    <t>~Magadanskaya oblast'~MAG~Magadan Oblast~Magadan~Maga Buryatdan~~</t>
  </si>
  <si>
    <t>~Mariy El, Respublika~ME~Mari-El Republic~MARI EL~Respublika Mariy-El~Mariy-El~</t>
  </si>
  <si>
    <t>~Mordoviya, Respublika~MO~Mordovia Republic~MORDOVIA~Respublika Mordoviya~~</t>
  </si>
  <si>
    <t>~Moskovskaya oblast'~MOS~Moscos Oblast~Moscos~~~</t>
  </si>
  <si>
    <t>~Moskva~MOW~Moscow~Moscow Oblast~Moscow city~~</t>
  </si>
  <si>
    <t>~Murmanskaya oblast'~MUR~Murmansk Oblast~Murmansk~~~</t>
  </si>
  <si>
    <t>~Nenetskiy avtonomnyy okrug~NEN~Nenets~~~~</t>
  </si>
  <si>
    <t>~Novgorodskaya oblast'~NGR~Novgorod Oblast~Novgorod~~~</t>
  </si>
  <si>
    <t>~Nizhegorodskaya oblast'~NIZ~Nizhny Novgorod Oblast~Nizhegorod~~~</t>
  </si>
  <si>
    <t>~Novosibirskaya oblast'~NVS~Novosibirsk Oblast~Novosibirsk~~~</t>
  </si>
  <si>
    <t>~Omskaya oblast'~OMS~Omsk Oblast~Omsk~~~</t>
  </si>
  <si>
    <t>~Orenburgskaya oblast'~ORE~Orenburg~Orenburg Oblast~Orel Oblast~~</t>
  </si>
  <si>
    <t>~Orlovskaya oblast'~ORL~~~~~</t>
  </si>
  <si>
    <t>~Permskaya oblast'~PER~Perm Krai~Perm Oblast~Perm~Perm'~</t>
  </si>
  <si>
    <t>~Penzenskaya oblast'~PNZ~Penza Oblast~Penza~~~</t>
  </si>
  <si>
    <t>~Primorskiy kray~PRI~Primorsky Krai~Primorsky~Primor'ye~~</t>
  </si>
  <si>
    <t>~Pskovskaya oblast'~PSK~Pskov Oblast~Pskov~~~</t>
  </si>
  <si>
    <t>~Rostovskaya oblast'~ROS~Rostov Oblast~Rostov~~~</t>
  </si>
  <si>
    <t>~Ryazanskaya oblast'~RYA~Ryazan Oblast~Ryazan~Ryazan'~~</t>
  </si>
  <si>
    <t>~Sakha, Respublika [Yakutiya]~SA~Sakha Republic (Yakutia)~SAKHA REPUBLIC~Respublika Sakha(Yakutiya)~Sakha~</t>
  </si>
  <si>
    <t>~Sakhalinskaya oblast'~SAK~Sakhalin Oblast~Sakhalin~~~</t>
  </si>
  <si>
    <t>~Samarskaya oblast'~SAM~Samara Oblast~Samara~~~</t>
  </si>
  <si>
    <t>~Saratovskaya oblast'~SAR~Saratov Oblast~Saratov~~~</t>
  </si>
  <si>
    <t>~Severnaya Osetiya, Respublika~SE~North Ossetia Republic~NORTH OSSETIA–ALANIA~Respublika Severnaya Osetiya~~</t>
  </si>
  <si>
    <t>~Smolenskaya oblast'~SMO~Smolensk Oblast~Smolensk~~~</t>
  </si>
  <si>
    <t>~Sankt-Peterburg~SPE~City of St. Petersburg~Saint-Petersburg city~~~</t>
  </si>
  <si>
    <t>~Stavropol'skiy kray~STA~Stavropol Krai~Stavropolsky Krai~Stavropol'~~</t>
  </si>
  <si>
    <t>~Sverdlovskaya oblast'~SVE~Sverdlovs Oblast~Sverdlovsk Oblast~Sverdlovskaya Oblast~Sverdlovsk~</t>
  </si>
  <si>
    <t>~Tatarstan, Respublika~TA~Tatarstan Republic~TATARSTAN~Respublika Tatarstan~~</t>
  </si>
  <si>
    <t>~Tambovskaya oblast'~TAM~Tambov Oblast~Tambov~~~</t>
  </si>
  <si>
    <t>~Taymyrskiy (Dolgano-Nenetskiy)~TAY~~~~~</t>
  </si>
  <si>
    <t>~Tomskaya oblast'~TOM~Tomsk Oblast~Tomsk~~~</t>
  </si>
  <si>
    <t>~Tul'skaya oblast'~TUL~Tula Oblast~Tula~~~</t>
  </si>
  <si>
    <t>~Tverskaya oblast'~TVE~Tver Oblast~Tver~Tver'~~</t>
  </si>
  <si>
    <t>~Tyva, Respublika [Tuva]~TY~Tuva Republic~TUVA~Respublika Tyva~~</t>
  </si>
  <si>
    <t>~Tyumenskaya oblast'~TYU~Tyumen~Tyumen Oblast~Tyumen'~~</t>
  </si>
  <si>
    <t>~Udmurtskaya Respublika~UD~Udmurt Republic~Izhevsk Oblast~UDMURTIA~Udmurt~</t>
  </si>
  <si>
    <t>~Ul'yanovskaya oblast'~ULY~Ulyanovsk Oblast~Ulyanovsk~~~</t>
  </si>
  <si>
    <t>~Ust'-Ordynskiy Buryatskiy~UOB~~~~~</t>
  </si>
  <si>
    <t>~Volgogradskaya oblast'~VGG~Volgograd Oblast~Volgograd~~~</t>
  </si>
  <si>
    <t>~Vladimirskaya oblast'~VLA~Vladimir Oblast~Vladimir~~~</t>
  </si>
  <si>
    <t>~Vologodskaya oblast'~VLG~Vologda Oblast~Vologda~~~</t>
  </si>
  <si>
    <t>~Voronezhskaya oblast'~VOR~Voronezh Oblast~Voronezh~~~</t>
  </si>
  <si>
    <t>~Yamalo-Nenetskiy avtonomnyy okrug~YAN~Yamal-Nenets AO~Yamal-Nenets~~~</t>
  </si>
  <si>
    <t>~Yaroslavskaya oblast'~YAR~Yaroslav Oblast~Yaroslavl Oblast~Yaroslavl~~</t>
  </si>
  <si>
    <t>~Yevreyskaya avtonomnaya oblast'~YEV~Yevrey~~~~</t>
  </si>
  <si>
    <t>~Zabaykalsky Krai~ZAB~Zabajkal'skij kraj~Trans-Baikal Territory~Zabajkalskiy kray~Zabaykal'ye~</t>
  </si>
  <si>
    <t>~Armed Forces Americas~AA~~~~~</t>
  </si>
  <si>
    <t>~Armed Forces Europe~AE~~~~~</t>
  </si>
  <si>
    <t>~Alaska~AK~~~~~</t>
  </si>
  <si>
    <t>~Alabama~AL~~~~~</t>
  </si>
  <si>
    <t>~Armed Forces Pacific~AP~~~~~</t>
  </si>
  <si>
    <t>~Arkansas~AR~~~~~</t>
  </si>
  <si>
    <t>~American Samoa~AS~~~~~</t>
  </si>
  <si>
    <t>~Arizona~AZ~~~~~</t>
  </si>
  <si>
    <t>~California~CA~~~~~</t>
  </si>
  <si>
    <t>~Colorado~CO~~~~~</t>
  </si>
  <si>
    <t>~Connecticut~CT~~~~~</t>
  </si>
  <si>
    <t>~District of Columbia~DC~Dist. of Columbia~~~~</t>
  </si>
  <si>
    <t>~Delaware~DE~~~~~</t>
  </si>
  <si>
    <t>~Florida~FL~~~~~</t>
  </si>
  <si>
    <t>~Georgia~GA~~~~~</t>
  </si>
  <si>
    <t>~Guam~GU~~~~~</t>
  </si>
  <si>
    <t>~Hawaii~HI~~~~~</t>
  </si>
  <si>
    <t>~Iowa~IA~~~~~</t>
  </si>
  <si>
    <t>~Idaho~ID~~~~~</t>
  </si>
  <si>
    <t>~Illinois~IL~~~~~</t>
  </si>
  <si>
    <t>~Indiana~IN~~~~~</t>
  </si>
  <si>
    <t>~Kansas~KS~~~~~</t>
  </si>
  <si>
    <t>~Kentucky~KY~~~~~</t>
  </si>
  <si>
    <t>~Louisiana~LA~~~~~</t>
  </si>
  <si>
    <t>~Massachusetts~MA~~~~~</t>
  </si>
  <si>
    <t>~Maryland~MD~~~~~</t>
  </si>
  <si>
    <t>~Maine~ME~~~~~</t>
  </si>
  <si>
    <t>~Michigan~MI~~~~~</t>
  </si>
  <si>
    <t>~Minnesota~MN~~~~~</t>
  </si>
  <si>
    <t>~Missouri~MO~~~~~</t>
  </si>
  <si>
    <t>~Northern Mariana Islands~MP~~~~~</t>
  </si>
  <si>
    <t>~Mississippi~MS~~~~~</t>
  </si>
  <si>
    <t>~Montana~MT~~~~~</t>
  </si>
  <si>
    <t>~North Carolina~NC~~~~~</t>
  </si>
  <si>
    <t>~North Dakota~ND~~~~~</t>
  </si>
  <si>
    <t>~Nebraska~NE~NB~~~~</t>
  </si>
  <si>
    <t>~New Hampshire~NH~~~~~</t>
  </si>
  <si>
    <t>~New Jersey~NJ~~~~~</t>
  </si>
  <si>
    <t>~New Mexico~NM~~~~~</t>
  </si>
  <si>
    <t>~Nevada~NV~~~~~</t>
  </si>
  <si>
    <t>~New York~NY~~~~~</t>
  </si>
  <si>
    <t>~Ohio~OH~~~~~</t>
  </si>
  <si>
    <t>~Oklahoma~OK~~~~~</t>
  </si>
  <si>
    <t>~Oregon~OR~ON~~~~</t>
  </si>
  <si>
    <t>~Pennsylvania~PA~~~~~</t>
  </si>
  <si>
    <t>~Puerto Rico~PR~~~~~</t>
  </si>
  <si>
    <t>~Rhode Island~RI~~~~~</t>
  </si>
  <si>
    <t>~South Carolina~SC~~~~~</t>
  </si>
  <si>
    <t>~South Dakota~SD~~~~~</t>
  </si>
  <si>
    <t>~Tennessee~TN~~~~~</t>
  </si>
  <si>
    <t>~Texas~TX~~~~~</t>
  </si>
  <si>
    <t>~United States Minor Outlying Islands~UM~~~~~</t>
  </si>
  <si>
    <t>~Utah~UT~~~~~</t>
  </si>
  <si>
    <t>~Virginia~VA~~~~~</t>
  </si>
  <si>
    <t>~Virgin Islands~VI~~~~~</t>
  </si>
  <si>
    <t>~Vermont~VT~~~~~</t>
  </si>
  <si>
    <t>~Washington~WA~~~~~</t>
  </si>
  <si>
    <t>~Wisconsin~WI~~~~~</t>
  </si>
  <si>
    <t>~West Virginia~WV~~~~~</t>
  </si>
  <si>
    <t>~Wyoming~WY~~~~~</t>
  </si>
  <si>
    <t>~Amapa~AP~AMAPÁ~Amapá~~~</t>
  </si>
  <si>
    <t>~Ceara~CE~CEARÁ~Ceará~~~</t>
  </si>
  <si>
    <t>~Espirito Santo~ES~ESPÍRITO SANTO~Espírito Santo~~~</t>
  </si>
  <si>
    <t>~Goias~GO~GOIÁS~Goiás~~~</t>
  </si>
  <si>
    <t>~Maranhao~MA~MARANHÃO~Maranhão~~~</t>
  </si>
  <si>
    <t>~Parana~PR~PARANÁ~Paraná~~~</t>
  </si>
  <si>
    <t>~Paraiba~PB~PARAÍBA~Paraíba~~~</t>
  </si>
  <si>
    <t>~Para~PA~PARÁ~Pará~~~</t>
  </si>
  <si>
    <t>~Piaui~PI~PIAUÍ~Piauí~~~</t>
  </si>
  <si>
    <t>~Rondonia~RO~RONDÔNIA~Rondônia~~~</t>
  </si>
  <si>
    <t>~Sao Paulo~SP~SA~SÃO PAULO~São Paulo~~</t>
  </si>
  <si>
    <t>Option 1</t>
  </si>
  <si>
    <t>Afghanistan</t>
  </si>
  <si>
    <t>OAS</t>
  </si>
  <si>
    <t>Albania</t>
  </si>
  <si>
    <t>URA</t>
  </si>
  <si>
    <t>Algeria</t>
  </si>
  <si>
    <t>AFR</t>
  </si>
  <si>
    <t>Andorra</t>
  </si>
  <si>
    <t>EUR</t>
  </si>
  <si>
    <t>Angola</t>
  </si>
  <si>
    <t>Antigua and Barbuda</t>
  </si>
  <si>
    <t>CSA</t>
  </si>
  <si>
    <t>Argentina</t>
  </si>
  <si>
    <t>Armenia</t>
  </si>
  <si>
    <t>Aruba</t>
  </si>
  <si>
    <t>Australia</t>
  </si>
  <si>
    <t>ANZ</t>
  </si>
  <si>
    <t>Austria</t>
  </si>
  <si>
    <t>Azerbaijan</t>
  </si>
  <si>
    <t>Bahrain</t>
  </si>
  <si>
    <t>MID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</si>
  <si>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</si>
  <si>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</si>
  <si>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</si>
  <si>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</si>
  <si>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</si>
  <si>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</si>
  <si>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</si>
  <si>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</si>
  <si>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</si>
  <si>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</si>
  <si>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</si>
  <si>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</si>
  <si>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NULL</t>
  </si>
  <si>
    <t>BRZ</t>
  </si>
  <si>
    <t>Brunei</t>
  </si>
  <si>
    <t>Bulgaria</t>
  </si>
  <si>
    <t>Burkina Faso</t>
  </si>
  <si>
    <t>Burundi</t>
  </si>
  <si>
    <t>Cambodia</t>
  </si>
  <si>
    <t>Cameroon</t>
  </si>
  <si>
    <t>CAN</t>
  </si>
  <si>
    <t>Cape Verde</t>
  </si>
  <si>
    <t>Cayman Islands</t>
  </si>
  <si>
    <t>Central African Republic</t>
  </si>
  <si>
    <t>Chad</t>
  </si>
  <si>
    <t>Chile</t>
  </si>
  <si>
    <t>MXC</t>
  </si>
  <si>
    <t>Cocos (Keeling) Islands</t>
  </si>
  <si>
    <t>Colombia</t>
  </si>
  <si>
    <t>Comoros</t>
  </si>
  <si>
    <t>Cook Islands</t>
  </si>
  <si>
    <t>Costa Rica</t>
  </si>
  <si>
    <t>Ivory Coast</t>
  </si>
  <si>
    <t>Croatia</t>
  </si>
  <si>
    <t>Cuba</t>
  </si>
  <si>
    <t>Curacao</t>
  </si>
  <si>
    <t>Cyprus</t>
  </si>
  <si>
    <t>Czech Republic</t>
  </si>
  <si>
    <t>Dem. People^s Rep. Korea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</si>
  <si>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</si>
  <si>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</si>
  <si>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</si>
  <si>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</si>
  <si>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</si>
  <si>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</si>
  <si>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</si>
  <si>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</si>
  <si>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</si>
  <si>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</si>
  <si>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</si>
  <si>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</si>
  <si>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</si>
  <si>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</si>
  <si>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</si>
  <si>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</si>
  <si>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</si>
  <si>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</si>
  <si>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</si>
  <si>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Germany</t>
  </si>
  <si>
    <t>Ghana</t>
  </si>
  <si>
    <t>Gibraltar</t>
  </si>
  <si>
    <t>Greece</t>
  </si>
  <si>
    <t>Greenland</t>
  </si>
  <si>
    <t>Grenada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</si>
  <si>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</si>
  <si>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</si>
  <si>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</si>
  <si>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</si>
  <si>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</si>
  <si>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</si>
  <si>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</si>
  <si>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</si>
  <si>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</si>
  <si>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</si>
  <si>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</si>
  <si>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</si>
  <si>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</si>
  <si>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</si>
  <si>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</si>
  <si>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</si>
  <si>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</si>
  <si>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</si>
  <si>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</si>
  <si>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</si>
  <si>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JPN</t>
  </si>
  <si>
    <t>Jordan</t>
  </si>
  <si>
    <t>Kazakhstan</t>
  </si>
  <si>
    <t>Kenya</t>
  </si>
  <si>
    <t>Kiribati</t>
  </si>
  <si>
    <t>South Korea</t>
  </si>
  <si>
    <t>SKO</t>
  </si>
  <si>
    <t>Kosovo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</si>
  <si>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</si>
  <si>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</si>
  <si>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</si>
  <si>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</si>
  <si>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</si>
  <si>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</si>
  <si>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</si>
  <si>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</si>
  <si>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</si>
  <si>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</si>
  <si>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</si>
  <si>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</si>
  <si>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</si>
  <si>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</si>
  <si>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</si>
  <si>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</si>
  <si>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</si>
  <si>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</si>
  <si>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</si>
  <si>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</si>
  <si>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</si>
  <si>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</si>
  <si>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</si>
  <si>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</si>
  <si>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</si>
  <si>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</si>
  <si>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</si>
  <si>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</si>
  <si>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</si>
  <si>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</si>
  <si>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</si>
  <si>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</si>
  <si>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</si>
  <si>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</si>
  <si>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</si>
  <si>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</si>
  <si>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</si>
  <si>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</si>
  <si>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</si>
  <si>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</si>
  <si>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</si>
  <si>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</si>
  <si>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</si>
  <si>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</si>
  <si>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</si>
  <si>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</si>
  <si>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</si>
  <si>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</si>
  <si>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</si>
  <si>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</si>
  <si>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</si>
  <si>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</si>
  <si>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</si>
  <si>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</si>
  <si>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</si>
  <si>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</si>
  <si>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</si>
  <si>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Republic of Congo</t>
  </si>
  <si>
    <t>Romania</t>
  </si>
  <si>
    <t>RUS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</si>
  <si>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</si>
  <si>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</si>
  <si>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</si>
  <si>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</si>
  <si>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</si>
  <si>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</si>
  <si>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</si>
  <si>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</si>
  <si>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</si>
  <si>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</si>
  <si>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</si>
  <si>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</si>
  <si>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</si>
  <si>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</si>
  <si>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</si>
  <si>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</si>
  <si>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</si>
  <si>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</si>
  <si>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</si>
  <si>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</si>
  <si>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</si>
  <si>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</si>
  <si>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</si>
  <si>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</si>
  <si>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</si>
  <si>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</si>
  <si>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Svalbard &amp; Jan Mayen Islands</t>
  </si>
  <si>
    <t>Swaziland</t>
  </si>
  <si>
    <t>Sweden</t>
  </si>
  <si>
    <t>Switzerland</t>
  </si>
  <si>
    <t>Syrian Arab Republic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</si>
  <si>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</si>
  <si>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</si>
  <si>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</si>
  <si>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</si>
  <si>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</si>
  <si>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</si>
  <si>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</si>
  <si>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</si>
  <si>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</si>
  <si>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</si>
  <si>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</si>
  <si>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</si>
  <si>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</si>
  <si>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</si>
  <si>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</si>
  <si>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</si>
  <si>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</si>
  <si>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</si>
  <si>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</si>
  <si>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USA</t>
  </si>
  <si>
    <t>Uruguay</t>
  </si>
  <si>
    <t>Uzbekistan</t>
  </si>
  <si>
    <t>Vanuatu</t>
  </si>
  <si>
    <t>Vatican</t>
  </si>
  <si>
    <t>Venezuela</t>
  </si>
  <si>
    <t>Vietnam</t>
  </si>
  <si>
    <t>Wallis and Futuna</t>
  </si>
  <si>
    <t>Yemen</t>
  </si>
  <si>
    <t>Zambia</t>
  </si>
  <si>
    <t>Zimbabwe</t>
  </si>
  <si>
    <t>*this is to generate a list of state regions for subnational regions</t>
  </si>
  <si>
    <t>Neast</t>
  </si>
  <si>
    <t>North</t>
  </si>
  <si>
    <t>South</t>
  </si>
  <si>
    <t>West</t>
  </si>
  <si>
    <t>East</t>
  </si>
  <si>
    <t>StateReg</t>
  </si>
  <si>
    <t>-</t>
  </si>
  <si>
    <t>abbreviation__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</si>
</sst>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0" borderId="0" xfId="0" applyFont="1"/>
    <xf numFmtId="0" fontId="0" fillId="0" borderId="0" xfId="0" quotePrefix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9346-4B71-480E-B28C-2930D5658868}">
  <dimension ref="A1:X265"/>
  <sheetViews>
    <sheetView workbookViewId="0"/>
  </sheetViews>
  <sheetFormatPr defaultRowHeight="15" x14ac:dyDescent="0.25"/>
  <sheetData>
    <row r="1" spans="1:24" x14ac:dyDescent="0.25">
      <c r="A1" s="2" t="s">
        <v>991</v>
      </c>
    </row>
    <row r="4" spans="1:24" x14ac:dyDescent="0.25">
      <c r="B4" t="s">
        <v>0</v>
      </c>
      <c r="C4" t="s">
        <v>2</v>
      </c>
      <c r="G4" t="s">
        <v>0</v>
      </c>
      <c r="H4" t="s">
        <v>757</v>
      </c>
    </row>
    <row r="5" spans="1:24" x14ac:dyDescent="0.25">
      <c r="A5" t="str">
        <f>IF(B5=B6,1,0)&amp;B5</f>
        <v>1Brazil</v>
      </c>
      <c r="B5" t="s">
        <v>3</v>
      </c>
      <c r="C5" t="s">
        <v>5</v>
      </c>
      <c r="D5" t="str">
        <f t="shared" ref="D5:D68" si="0">VLOOKUP(B5,$G$5:$H$234,2,FALSE)&amp;"-"&amp;C5</f>
        <v>BRZ-AC</v>
      </c>
      <c r="E5" t="str">
        <f>IF(B5=B4,E4&amp;","&amp;D5,D5)</f>
        <v>BRZ-AC</v>
      </c>
      <c r="G5" t="s">
        <v>758</v>
      </c>
      <c r="H5" t="s">
        <v>759</v>
      </c>
      <c r="J5" t="s">
        <v>3</v>
      </c>
      <c r="K5" s="1" t="str">
        <f>VLOOKUP(J5,$G$5:$H$234,2,FALSE)</f>
        <v>BRZ</v>
      </c>
      <c r="L5" s="1" t="str">
        <f>VLOOKUP("0"&amp;J5,$A$5:$E$265,5,FALSE)</f>
        <v>BRZ-AC,BRZ-AL,BRZ-AM,BRZ-AP,BRZ-BA,BRZ-CE,BRZ-DF,BRZ-ES,BRZ-FN,BRZ-GO,BRZ-MA,BRZ-MG,BRZ-MS,BRZ-MT,BRZ-PA,BRZ-PB,BRZ-PE,BRZ-PI,BRZ-PR,BRZ-RJ,BRZ-RN,BRZ-RO,BRZ-RR,BRZ-RS,BRZ-SC,BRZ-SE,BRZ-SP,BRZ-TO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t="str">
        <f t="shared" ref="A6:A69" si="1">IF(B6=B7,1,0)&amp;B6</f>
        <v>1Brazil</v>
      </c>
      <c r="B6" t="s">
        <v>3</v>
      </c>
      <c r="C6" t="s">
        <v>7</v>
      </c>
      <c r="D6" t="str">
        <f t="shared" si="0"/>
        <v>BRZ-AL</v>
      </c>
      <c r="E6" t="str">
        <f t="shared" ref="E6:E69" si="2">IF(B6=B5,E5&amp;","&amp;D6,D6)</f>
        <v>BRZ-AC,BRZ-AL</v>
      </c>
      <c r="G6" t="s">
        <v>760</v>
      </c>
      <c r="H6" t="s">
        <v>761</v>
      </c>
      <c r="J6" t="s">
        <v>60</v>
      </c>
      <c r="K6" s="1" t="str">
        <f t="shared" ref="K6:K10" si="3">VLOOKUP(J6,$G$5:$H$234,2,FALSE)</f>
        <v>CAN</v>
      </c>
      <c r="L6" s="1" t="str">
        <f t="shared" ref="L6:L10" si="4">VLOOKUP("0"&amp;J6,$A$5:$E$265,5,FALSE)</f>
        <v>CAN-AB,CAN-BC,CAN-MB,CAN-NB,CAN-NL,CAN-NS,CAN-NT,CAN-NU,CAN-ON,CAN-PE,CAN-QC,CAN-SK,CAN-YT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t="str">
        <f t="shared" si="1"/>
        <v>1Brazil</v>
      </c>
      <c r="B7" t="s">
        <v>3</v>
      </c>
      <c r="C7" t="s">
        <v>11</v>
      </c>
      <c r="D7" t="str">
        <f t="shared" si="0"/>
        <v>BRZ-AM</v>
      </c>
      <c r="E7" t="str">
        <f t="shared" si="2"/>
        <v>BRZ-AC,BRZ-AL,BRZ-AM</v>
      </c>
      <c r="G7" t="s">
        <v>762</v>
      </c>
      <c r="H7" t="s">
        <v>763</v>
      </c>
      <c r="J7" t="s">
        <v>86</v>
      </c>
      <c r="K7" s="1" t="str">
        <f t="shared" si="3"/>
        <v>CHI</v>
      </c>
      <c r="L7" s="1" t="str">
        <f t="shared" si="4"/>
        <v>CHI-AH,CHI-BJ,CHI-CQ,CHI-FJ,CHI-GD,CHI-GS,CHI-GX,CHI-GZ,CHI-HA,CHI-HB,CHI-HE,CHI-HI,CHI-HK,CHI-HL,CHI-HN,CHI-JL,CHI-JS,CHI-JX,CHI-LN,CHI-MO,CHI-NM,CHI-NX,CHI-QH,CHI-SC,CHI-SD,CHI-SH,CHI-SN,CHI-SX,CHI-TJ,CHI-TW,CHI-XJ,CHI-XZ,CHI-YN,CHI-ZJ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t="str">
        <f t="shared" si="1"/>
        <v>1Brazil</v>
      </c>
      <c r="B8" t="s">
        <v>3</v>
      </c>
      <c r="C8" t="s">
        <v>9</v>
      </c>
      <c r="D8" t="str">
        <f t="shared" si="0"/>
        <v>BRZ-AP</v>
      </c>
      <c r="E8" t="str">
        <f t="shared" si="2"/>
        <v>BRZ-AC,BRZ-AL,BRZ-AM,BRZ-AP</v>
      </c>
      <c r="G8" t="s">
        <v>359</v>
      </c>
      <c r="H8" t="s">
        <v>759</v>
      </c>
      <c r="J8" t="s">
        <v>120</v>
      </c>
      <c r="K8" s="1" t="str">
        <f t="shared" si="3"/>
        <v>IND</v>
      </c>
      <c r="L8" s="1" t="str">
        <f t="shared" si="4"/>
        <v>IND-AN,IND-AP,IND-AR,IND-AS,IND-BR,IND-CH,IND-CT,IND-DD,IND-DL,IND-DN,IND-GA,IND-GJ,IND-HP,IND-HR,IND-JH,IND-JK,IND-KA,IND-KL,IND-LD,IND-ML,IND-MH,IND-MN,IND-MP,IND-MZ,IND-NL,IND-OR,IND-PB,IND-PY,IND-RJ,IND-SK,IND-TG,IND-TN,IND-TR,IND-UT,IND-UP,IND-WB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t="str">
        <f t="shared" si="1"/>
        <v>1Brazil</v>
      </c>
      <c r="B9" t="s">
        <v>3</v>
      </c>
      <c r="C9" t="s">
        <v>13</v>
      </c>
      <c r="D9" t="str">
        <f t="shared" si="0"/>
        <v>BRZ-BA</v>
      </c>
      <c r="E9" t="str">
        <f t="shared" si="2"/>
        <v>BRZ-AC,BRZ-AL,BRZ-AM,BRZ-AP,BRZ-BA</v>
      </c>
      <c r="G9" t="s">
        <v>764</v>
      </c>
      <c r="H9" t="s">
        <v>765</v>
      </c>
      <c r="J9" t="s">
        <v>459</v>
      </c>
      <c r="K9" s="1" t="str">
        <f t="shared" si="3"/>
        <v>RUS</v>
      </c>
      <c r="L9" s="1" t="str">
        <f t="shared" si="4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,RUS-UD,RUS-ULY,RUS-UOB,RUS-VGG,RUS-VLA,RUS-VLG,RUS-VOR,RUS-YAN,RUS-YAR,RUS-YEV,RUS-ZAB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t="str">
        <f t="shared" si="1"/>
        <v>1Brazil</v>
      </c>
      <c r="B10" t="s">
        <v>3</v>
      </c>
      <c r="C10" t="s">
        <v>15</v>
      </c>
      <c r="D10" t="str">
        <f t="shared" si="0"/>
        <v>BRZ-CE</v>
      </c>
      <c r="E10" t="str">
        <f t="shared" si="2"/>
        <v>BRZ-AC,BRZ-AL,BRZ-AM,BRZ-AP,BRZ-BA,BRZ-CE</v>
      </c>
      <c r="G10" t="s">
        <v>766</v>
      </c>
      <c r="H10" t="s">
        <v>763</v>
      </c>
      <c r="J10" t="s">
        <v>355</v>
      </c>
      <c r="K10" s="1" t="str">
        <f t="shared" si="3"/>
        <v>USA</v>
      </c>
      <c r="L10" s="1" t="str">
        <f t="shared" si="4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,USA-TN,USA-TX,USA-UM,USA-UT,USA-VA,USA-VI,USA-VT,USA-WA,USA-WI,USA-WV,USA-WY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t="str">
        <f t="shared" si="1"/>
        <v>1Brazil</v>
      </c>
      <c r="B11" t="s">
        <v>3</v>
      </c>
      <c r="C11" t="s">
        <v>17</v>
      </c>
      <c r="D11" t="str">
        <f t="shared" si="0"/>
        <v>BRZ-DF</v>
      </c>
      <c r="E11" t="str">
        <f t="shared" si="2"/>
        <v>BRZ-AC,BRZ-AL,BRZ-AM,BRZ-AP,BRZ-BA,BRZ-CE,BRZ-DF</v>
      </c>
      <c r="G11" t="s">
        <v>767</v>
      </c>
      <c r="H11" t="s">
        <v>768</v>
      </c>
    </row>
    <row r="12" spans="1:24" x14ac:dyDescent="0.25">
      <c r="A12" t="str">
        <f t="shared" si="1"/>
        <v>1Brazil</v>
      </c>
      <c r="B12" t="s">
        <v>3</v>
      </c>
      <c r="C12" t="s">
        <v>19</v>
      </c>
      <c r="D12" t="str">
        <f t="shared" si="0"/>
        <v>BRZ-ES</v>
      </c>
      <c r="E12" t="str">
        <f t="shared" si="2"/>
        <v>BRZ-AC,BRZ-AL,BRZ-AM,BRZ-AP,BRZ-BA,BRZ-CE,BRZ-DF,BRZ-ES</v>
      </c>
      <c r="G12" t="s">
        <v>769</v>
      </c>
      <c r="H12" t="s">
        <v>768</v>
      </c>
    </row>
    <row r="13" spans="1:24" x14ac:dyDescent="0.25">
      <c r="A13" t="str">
        <f t="shared" si="1"/>
        <v>1Brazil</v>
      </c>
      <c r="B13" t="s">
        <v>3</v>
      </c>
      <c r="C13" t="s">
        <v>21</v>
      </c>
      <c r="D13" t="str">
        <f t="shared" si="0"/>
        <v>BRZ-FN</v>
      </c>
      <c r="E13" t="str">
        <f t="shared" si="2"/>
        <v>BRZ-AC,BRZ-AL,BRZ-AM,BRZ-AP,BRZ-BA,BRZ-CE,BRZ-DF,BRZ-ES,BRZ-FN</v>
      </c>
      <c r="G13" t="s">
        <v>770</v>
      </c>
      <c r="H13" t="s">
        <v>761</v>
      </c>
    </row>
    <row r="14" spans="1:24" x14ac:dyDescent="0.25">
      <c r="A14" t="str">
        <f t="shared" si="1"/>
        <v>1Brazil</v>
      </c>
      <c r="B14" t="s">
        <v>3</v>
      </c>
      <c r="C14" t="s">
        <v>23</v>
      </c>
      <c r="D14" t="str">
        <f t="shared" si="0"/>
        <v>BRZ-GO</v>
      </c>
      <c r="E14" t="str">
        <f t="shared" si="2"/>
        <v>BRZ-AC,BRZ-AL,BRZ-AM,BRZ-AP,BRZ-BA,BRZ-CE,BRZ-DF,BRZ-ES,BRZ-FN,BRZ-GO</v>
      </c>
      <c r="G14" t="s">
        <v>771</v>
      </c>
      <c r="H14" t="s">
        <v>768</v>
      </c>
    </row>
    <row r="15" spans="1:24" x14ac:dyDescent="0.25">
      <c r="A15" t="str">
        <f t="shared" si="1"/>
        <v>1Brazil</v>
      </c>
      <c r="B15" t="s">
        <v>3</v>
      </c>
      <c r="C15" t="s">
        <v>25</v>
      </c>
      <c r="D15" t="str">
        <f t="shared" si="0"/>
        <v>BRZ-MA</v>
      </c>
      <c r="E15" t="str">
        <f t="shared" si="2"/>
        <v>BRZ-AC,BRZ-AL,BRZ-AM,BRZ-AP,BRZ-BA,BRZ-CE,BRZ-DF,BRZ-ES,BRZ-FN,BRZ-GO,BRZ-MA</v>
      </c>
      <c r="G15" t="s">
        <v>772</v>
      </c>
      <c r="H15" t="s">
        <v>773</v>
      </c>
    </row>
    <row r="16" spans="1:24" x14ac:dyDescent="0.25">
      <c r="A16" t="str">
        <f t="shared" si="1"/>
        <v>1Brazil</v>
      </c>
      <c r="B16" t="s">
        <v>3</v>
      </c>
      <c r="C16" t="s">
        <v>31</v>
      </c>
      <c r="D16" t="str">
        <f t="shared" si="0"/>
        <v>BRZ-MG</v>
      </c>
      <c r="E16" t="str">
        <f t="shared" si="2"/>
        <v>BRZ-AC,BRZ-AL,BRZ-AM,BRZ-AP,BRZ-BA,BRZ-CE,BRZ-DF,BRZ-ES,BRZ-FN,BRZ-GO,BRZ-MA,BRZ-MG</v>
      </c>
      <c r="G16" t="s">
        <v>774</v>
      </c>
      <c r="H16" t="s">
        <v>765</v>
      </c>
    </row>
    <row r="17" spans="1:8" x14ac:dyDescent="0.25">
      <c r="A17" t="str">
        <f t="shared" si="1"/>
        <v>1Brazil</v>
      </c>
      <c r="B17" t="s">
        <v>3</v>
      </c>
      <c r="C17" t="s">
        <v>29</v>
      </c>
      <c r="D17" t="str">
        <f t="shared" si="0"/>
        <v>BRZ-MS</v>
      </c>
      <c r="E17" t="str">
        <f t="shared" si="2"/>
        <v>BRZ-AC,BRZ-AL,BRZ-AM,BRZ-AP,BRZ-BA,BRZ-CE,BRZ-DF,BRZ-ES,BRZ-FN,BRZ-GO,BRZ-MA,BRZ-MG,BRZ-MS</v>
      </c>
      <c r="G17" t="s">
        <v>775</v>
      </c>
      <c r="H17" t="s">
        <v>761</v>
      </c>
    </row>
    <row r="18" spans="1:8" x14ac:dyDescent="0.25">
      <c r="A18" t="str">
        <f t="shared" si="1"/>
        <v>1Brazil</v>
      </c>
      <c r="B18" t="s">
        <v>3</v>
      </c>
      <c r="C18" t="s">
        <v>27</v>
      </c>
      <c r="D18" t="str">
        <f t="shared" si="0"/>
        <v>BRZ-MT</v>
      </c>
      <c r="E18" t="str">
        <f t="shared" si="2"/>
        <v>BRZ-AC,BRZ-AL,BRZ-AM,BRZ-AP,BRZ-BA,BRZ-CE,BRZ-DF,BRZ-ES,BRZ-FN,BRZ-GO,BRZ-MA,BRZ-MG,BRZ-MS,BRZ-MT</v>
      </c>
      <c r="G18" t="s">
        <v>776</v>
      </c>
      <c r="H18" t="s">
        <v>777</v>
      </c>
    </row>
    <row r="19" spans="1:8" x14ac:dyDescent="0.25">
      <c r="A19" t="str">
        <f t="shared" si="1"/>
        <v>1Brazil</v>
      </c>
      <c r="B19" t="s">
        <v>3</v>
      </c>
      <c r="C19" t="s">
        <v>33</v>
      </c>
      <c r="D19" t="str">
        <f t="shared" si="0"/>
        <v>BRZ-PA</v>
      </c>
      <c r="E19" t="str">
        <f t="shared" si="2"/>
        <v>BRZ-AC,BRZ-AL,BRZ-AM,BRZ-AP,BRZ-BA,BRZ-CE,BRZ-DF,BRZ-ES,BRZ-FN,BRZ-GO,BRZ-MA,BRZ-MG,BRZ-MS,BRZ-MT,BRZ-PA</v>
      </c>
      <c r="G19" t="s">
        <v>778</v>
      </c>
      <c r="H19" t="s">
        <v>759</v>
      </c>
    </row>
    <row r="20" spans="1:8" x14ac:dyDescent="0.25">
      <c r="A20" t="str">
        <f t="shared" si="1"/>
        <v>1Brazil</v>
      </c>
      <c r="B20" t="s">
        <v>3</v>
      </c>
      <c r="C20" t="s">
        <v>35</v>
      </c>
      <c r="D20" t="str">
        <f t="shared" si="0"/>
        <v>BRZ-PB</v>
      </c>
      <c r="E20" t="str">
        <f t="shared" si="2"/>
        <v>BRZ-AC,BRZ-AL,BRZ-AM,BRZ-AP,BRZ-BA,BRZ-CE,BRZ-DF,BRZ-ES,BRZ-FN,BRZ-GO,BRZ-MA,BRZ-MG,BRZ-MS,BRZ-MT,BRZ-PA,BRZ-PB</v>
      </c>
      <c r="G20" t="s">
        <v>779</v>
      </c>
      <c r="H20" t="s">
        <v>768</v>
      </c>
    </row>
    <row r="21" spans="1:8" x14ac:dyDescent="0.25">
      <c r="A21" t="str">
        <f t="shared" si="1"/>
        <v>1Brazil</v>
      </c>
      <c r="B21" t="s">
        <v>3</v>
      </c>
      <c r="C21" t="s">
        <v>39</v>
      </c>
      <c r="D21" t="str">
        <f t="shared" si="0"/>
        <v>BRZ-PE</v>
      </c>
      <c r="E21" t="str">
        <f t="shared" si="2"/>
        <v>BRZ-AC,BRZ-AL,BRZ-AM,BRZ-AP,BRZ-BA,BRZ-CE,BRZ-DF,BRZ-ES,BRZ-FN,BRZ-GO,BRZ-MA,BRZ-MG,BRZ-MS,BRZ-MT,BRZ-PA,BRZ-PB,BRZ-PE</v>
      </c>
      <c r="G21" t="s">
        <v>780</v>
      </c>
      <c r="H21" t="s">
        <v>761</v>
      </c>
    </row>
    <row r="22" spans="1:8" x14ac:dyDescent="0.25">
      <c r="A22" t="str">
        <f t="shared" si="1"/>
        <v>1Brazil</v>
      </c>
      <c r="B22" t="s">
        <v>3</v>
      </c>
      <c r="C22" t="s">
        <v>41</v>
      </c>
      <c r="D22" t="str">
        <f t="shared" si="0"/>
        <v>BRZ-PI</v>
      </c>
      <c r="E22" t="str">
        <f t="shared" si="2"/>
        <v>BRZ-AC,BRZ-AL,BRZ-AM,BRZ-AP,BRZ-BA,BRZ-CE,BRZ-DF,BRZ-ES,BRZ-FN,BRZ-GO,BRZ-MA,BRZ-MG,BRZ-MS,BRZ-MT,BRZ-PA,BRZ-PB,BRZ-PE,BRZ-PI</v>
      </c>
      <c r="G22" t="s">
        <v>781</v>
      </c>
      <c r="H22" t="s">
        <v>765</v>
      </c>
    </row>
    <row r="23" spans="1:8" x14ac:dyDescent="0.25">
      <c r="A23" t="str">
        <f t="shared" si="1"/>
        <v>1Brazil</v>
      </c>
      <c r="B23" t="s">
        <v>3</v>
      </c>
      <c r="C23" t="s">
        <v>37</v>
      </c>
      <c r="D23" t="str">
        <f t="shared" si="0"/>
        <v>BRZ-PR</v>
      </c>
      <c r="E23" t="str">
        <f t="shared" si="2"/>
        <v>BRZ-AC,BRZ-AL,BRZ-AM,BRZ-AP,BRZ-BA,BRZ-CE,BRZ-DF,BRZ-ES,BRZ-FN,BRZ-GO,BRZ-MA,BRZ-MG,BRZ-MS,BRZ-MT,BRZ-PA,BRZ-PB,BRZ-PE,BRZ-PI,BRZ-PR</v>
      </c>
      <c r="G23" t="s">
        <v>782</v>
      </c>
      <c r="H23" t="s">
        <v>768</v>
      </c>
    </row>
    <row r="24" spans="1:8" x14ac:dyDescent="0.25">
      <c r="A24" t="str">
        <f t="shared" si="1"/>
        <v>1Brazil</v>
      </c>
      <c r="B24" t="s">
        <v>3</v>
      </c>
      <c r="C24" t="s">
        <v>43</v>
      </c>
      <c r="D24" t="str">
        <f t="shared" si="0"/>
        <v>BRZ-RJ</v>
      </c>
      <c r="E24" t="str">
        <f t="shared" si="2"/>
        <v>BRZ-AC,BRZ-AL,BRZ-AM,BRZ-AP,BRZ-BA,BRZ-CE,BRZ-DF,BRZ-ES,BRZ-FN,BRZ-GO,BRZ-MA,BRZ-MG,BRZ-MS,BRZ-MT,BRZ-PA,BRZ-PB,BRZ-PE,BRZ-PI,BRZ-PR,BRZ-RJ</v>
      </c>
      <c r="G24" t="s">
        <v>783</v>
      </c>
      <c r="H24" t="s">
        <v>763</v>
      </c>
    </row>
    <row r="25" spans="1:8" x14ac:dyDescent="0.25">
      <c r="A25" t="str">
        <f t="shared" si="1"/>
        <v>1Brazil</v>
      </c>
      <c r="B25" t="s">
        <v>3</v>
      </c>
      <c r="C25" t="s">
        <v>45</v>
      </c>
      <c r="D25" t="str">
        <f t="shared" si="0"/>
        <v>BRZ-RN</v>
      </c>
      <c r="E25" t="str">
        <f t="shared" si="2"/>
        <v>BRZ-AC,BRZ-AL,BRZ-AM,BRZ-AP,BRZ-BA,BRZ-CE,BRZ-DF,BRZ-ES,BRZ-FN,BRZ-GO,BRZ-MA,BRZ-MG,BRZ-MS,BRZ-MT,BRZ-PA,BRZ-PB,BRZ-PE,BRZ-PI,BRZ-PR,BRZ-RJ,BRZ-RN</v>
      </c>
      <c r="G25" t="s">
        <v>784</v>
      </c>
      <c r="H25" t="s">
        <v>768</v>
      </c>
    </row>
    <row r="26" spans="1:8" x14ac:dyDescent="0.25">
      <c r="A26" t="str">
        <f t="shared" si="1"/>
        <v>1Brazil</v>
      </c>
      <c r="B26" t="s">
        <v>3</v>
      </c>
      <c r="C26" t="s">
        <v>49</v>
      </c>
      <c r="D26" t="str">
        <f t="shared" si="0"/>
        <v>BRZ-RO</v>
      </c>
      <c r="E26" t="str">
        <f t="shared" si="2"/>
        <v>BRZ-AC,BRZ-AL,BRZ-AM,BRZ-AP,BRZ-BA,BRZ-CE,BRZ-DF,BRZ-ES,BRZ-FN,BRZ-GO,BRZ-MA,BRZ-MG,BRZ-MS,BRZ-MT,BRZ-PA,BRZ-PB,BRZ-PE,BRZ-PI,BRZ-PR,BRZ-RJ,BRZ-RN,BRZ-RO</v>
      </c>
      <c r="G26" t="s">
        <v>785</v>
      </c>
      <c r="H26" t="s">
        <v>759</v>
      </c>
    </row>
    <row r="27" spans="1:8" x14ac:dyDescent="0.25">
      <c r="A27" t="str">
        <f t="shared" si="1"/>
        <v>1Brazil</v>
      </c>
      <c r="B27" t="s">
        <v>3</v>
      </c>
      <c r="C27" t="s">
        <v>51</v>
      </c>
      <c r="D27" t="str">
        <f t="shared" si="0"/>
        <v>BRZ-RR</v>
      </c>
      <c r="E27" t="str">
        <f t="shared" si="2"/>
        <v>BRZ-AC,BRZ-AL,BRZ-AM,BRZ-AP,BRZ-BA,BRZ-CE,BRZ-DF,BRZ-ES,BRZ-FN,BRZ-GO,BRZ-MA,BRZ-MG,BRZ-MS,BRZ-MT,BRZ-PA,BRZ-PB,BRZ-PE,BRZ-PI,BRZ-PR,BRZ-RJ,BRZ-RN,BRZ-RO,BRZ-RR</v>
      </c>
      <c r="G27" t="s">
        <v>786</v>
      </c>
      <c r="H27" t="s">
        <v>768</v>
      </c>
    </row>
    <row r="28" spans="1:8" x14ac:dyDescent="0.25">
      <c r="A28" t="str">
        <f t="shared" si="1"/>
        <v>1Brazil</v>
      </c>
      <c r="B28" t="s">
        <v>3</v>
      </c>
      <c r="C28" t="s">
        <v>47</v>
      </c>
      <c r="D28" t="str">
        <f t="shared" si="0"/>
        <v>BRZ-RS</v>
      </c>
      <c r="E28" t="str">
        <f t="shared" si="2"/>
        <v>BRZ-AC,BRZ-AL,BRZ-AM,BRZ-AP,BRZ-BA,BRZ-CE,BRZ-DF,BRZ-ES,BRZ-FN,BRZ-GO,BRZ-MA,BRZ-MG,BRZ-MS,BRZ-MT,BRZ-PA,BRZ-PB,BRZ-PE,BRZ-PI,BRZ-PR,BRZ-RJ,BRZ-RN,BRZ-RO,BRZ-RR,BRZ-RS</v>
      </c>
      <c r="G28" t="s">
        <v>787</v>
      </c>
      <c r="H28" t="s">
        <v>761</v>
      </c>
    </row>
    <row r="29" spans="1:8" x14ac:dyDescent="0.25">
      <c r="A29" t="str">
        <f t="shared" si="1"/>
        <v>1Brazil</v>
      </c>
      <c r="B29" t="s">
        <v>3</v>
      </c>
      <c r="C29" t="s">
        <v>53</v>
      </c>
      <c r="D29" t="str">
        <f t="shared" si="0"/>
        <v>BRZ-SC</v>
      </c>
      <c r="E29" t="str">
        <f t="shared" si="2"/>
        <v>BRZ-AC,BRZ-AL,BRZ-AM,BRZ-AP,BRZ-BA,BRZ-CE,BRZ-DF,BRZ-ES,BRZ-FN,BRZ-GO,BRZ-MA,BRZ-MG,BRZ-MS,BRZ-MT,BRZ-PA,BRZ-PB,BRZ-PE,BRZ-PI,BRZ-PR,BRZ-RJ,BRZ-RN,BRZ-RO,BRZ-RR,BRZ-RS,BRZ-SC</v>
      </c>
      <c r="G29" t="s">
        <v>788</v>
      </c>
      <c r="H29" t="s">
        <v>763</v>
      </c>
    </row>
    <row r="30" spans="1:8" x14ac:dyDescent="0.25">
      <c r="A30" t="str">
        <f t="shared" si="1"/>
        <v>1Brazil</v>
      </c>
      <c r="B30" t="s">
        <v>3</v>
      </c>
      <c r="C30" t="s">
        <v>57</v>
      </c>
      <c r="D30" t="str">
        <f t="shared" si="0"/>
        <v>BRZ-SE</v>
      </c>
      <c r="E30" t="str">
        <f t="shared" si="2"/>
        <v>BRZ-AC,BRZ-AL,BRZ-AM,BRZ-AP,BRZ-BA,BRZ-CE,BRZ-DF,BRZ-ES,BRZ-FN,BRZ-GO,BRZ-MA,BRZ-MG,BRZ-MS,BRZ-MT,BRZ-PA,BRZ-PB,BRZ-PE,BRZ-PI,BRZ-PR,BRZ-RJ,BRZ-RN,BRZ-RO,BRZ-RR,BRZ-RS,BRZ-SC,BRZ-SE</v>
      </c>
      <c r="G30" t="s">
        <v>789</v>
      </c>
      <c r="H30" t="s">
        <v>790</v>
      </c>
    </row>
    <row r="31" spans="1:8" x14ac:dyDescent="0.25">
      <c r="A31" t="str">
        <f t="shared" si="1"/>
        <v>1Brazil</v>
      </c>
      <c r="B31" t="s">
        <v>3</v>
      </c>
      <c r="C31" t="s">
        <v>55</v>
      </c>
      <c r="D31" t="str">
        <f t="shared" si="0"/>
        <v>BRZ-SP</v>
      </c>
      <c r="E31" t="str">
        <f t="shared" si="2"/>
        <v>BRZ-AC,BRZ-AL,BRZ-AM,BRZ-AP,BRZ-BA,BRZ-CE,BRZ-DF,BRZ-ES,BRZ-FN,BRZ-GO,BRZ-MA,BRZ-MG,BRZ-MS,BRZ-MT,BRZ-PA,BRZ-PB,BRZ-PE,BRZ-PI,BRZ-PR,BRZ-RJ,BRZ-RN,BRZ-RO,BRZ-RR,BRZ-RS,BRZ-SC,BRZ-SE,BRZ-SP</v>
      </c>
      <c r="G31" t="s">
        <v>3</v>
      </c>
      <c r="H31" t="s">
        <v>791</v>
      </c>
    </row>
    <row r="32" spans="1:8" x14ac:dyDescent="0.25">
      <c r="A32" t="str">
        <f t="shared" si="1"/>
        <v>0Brazil</v>
      </c>
      <c r="B32" t="s">
        <v>3</v>
      </c>
      <c r="C32" t="s">
        <v>59</v>
      </c>
      <c r="D32" t="str">
        <f t="shared" si="0"/>
        <v>BRZ-TO</v>
      </c>
      <c r="E32" t="str">
        <f t="shared" si="2"/>
        <v>BRZ-AC,BRZ-AL,BRZ-AM,BRZ-AP,BRZ-BA,BRZ-CE,BRZ-DF,BRZ-ES,BRZ-FN,BRZ-GO,BRZ-MA,BRZ-MG,BRZ-MS,BRZ-MT,BRZ-PA,BRZ-PB,BRZ-PE,BRZ-PI,BRZ-PR,BRZ-RJ,BRZ-RN,BRZ-RO,BRZ-RR,BRZ-RS,BRZ-SC,BRZ-SE,BRZ-SP,BRZ-TO</v>
      </c>
      <c r="G32" t="s">
        <v>792</v>
      </c>
      <c r="H32" t="s">
        <v>759</v>
      </c>
    </row>
    <row r="33" spans="1:8" x14ac:dyDescent="0.25">
      <c r="A33" t="str">
        <f t="shared" si="1"/>
        <v>1Canada</v>
      </c>
      <c r="B33" t="s">
        <v>60</v>
      </c>
      <c r="C33" t="s">
        <v>62</v>
      </c>
      <c r="D33" t="str">
        <f t="shared" si="0"/>
        <v>CAN-AB</v>
      </c>
      <c r="E33" t="str">
        <f t="shared" si="2"/>
        <v>CAN-AB</v>
      </c>
      <c r="G33" t="s">
        <v>793</v>
      </c>
      <c r="H33" t="s">
        <v>761</v>
      </c>
    </row>
    <row r="34" spans="1:8" x14ac:dyDescent="0.25">
      <c r="A34" t="str">
        <f t="shared" si="1"/>
        <v>1Canada</v>
      </c>
      <c r="B34" t="s">
        <v>60</v>
      </c>
      <c r="C34" t="s">
        <v>64</v>
      </c>
      <c r="D34" t="str">
        <f t="shared" si="0"/>
        <v>CAN-BC</v>
      </c>
      <c r="E34" t="str">
        <f t="shared" si="2"/>
        <v>CAN-AB,CAN-BC</v>
      </c>
      <c r="G34" t="s">
        <v>794</v>
      </c>
      <c r="H34" t="s">
        <v>763</v>
      </c>
    </row>
    <row r="35" spans="1:8" x14ac:dyDescent="0.25">
      <c r="A35" t="str">
        <f t="shared" si="1"/>
        <v>1Canada</v>
      </c>
      <c r="B35" t="s">
        <v>60</v>
      </c>
      <c r="C35" t="s">
        <v>66</v>
      </c>
      <c r="D35" t="str">
        <f t="shared" si="0"/>
        <v>CAN-MB</v>
      </c>
      <c r="E35" t="str">
        <f t="shared" si="2"/>
        <v>CAN-AB,CAN-BC,CAN-MB</v>
      </c>
      <c r="G35" t="s">
        <v>795</v>
      </c>
      <c r="H35" t="s">
        <v>763</v>
      </c>
    </row>
    <row r="36" spans="1:8" x14ac:dyDescent="0.25">
      <c r="A36" t="str">
        <f t="shared" si="1"/>
        <v>1Canada</v>
      </c>
      <c r="B36" t="s">
        <v>60</v>
      </c>
      <c r="C36" t="s">
        <v>68</v>
      </c>
      <c r="D36" t="str">
        <f t="shared" si="0"/>
        <v>CAN-NB</v>
      </c>
      <c r="E36" t="str">
        <f t="shared" si="2"/>
        <v>CAN-AB,CAN-BC,CAN-MB,CAN-NB</v>
      </c>
      <c r="G36" t="s">
        <v>796</v>
      </c>
      <c r="H36" t="s">
        <v>759</v>
      </c>
    </row>
    <row r="37" spans="1:8" x14ac:dyDescent="0.25">
      <c r="A37" t="str">
        <f t="shared" si="1"/>
        <v>1Canada</v>
      </c>
      <c r="B37" t="s">
        <v>60</v>
      </c>
      <c r="C37" t="s">
        <v>70</v>
      </c>
      <c r="D37" t="str">
        <f t="shared" si="0"/>
        <v>CAN-NL</v>
      </c>
      <c r="E37" t="str">
        <f t="shared" si="2"/>
        <v>CAN-AB,CAN-BC,CAN-MB,CAN-NB,CAN-NL</v>
      </c>
      <c r="G37" t="s">
        <v>797</v>
      </c>
      <c r="H37" t="s">
        <v>763</v>
      </c>
    </row>
    <row r="38" spans="1:8" x14ac:dyDescent="0.25">
      <c r="A38" t="str">
        <f t="shared" si="1"/>
        <v>1Canada</v>
      </c>
      <c r="B38" t="s">
        <v>60</v>
      </c>
      <c r="C38" t="s">
        <v>74</v>
      </c>
      <c r="D38" t="str">
        <f t="shared" si="0"/>
        <v>CAN-NS</v>
      </c>
      <c r="E38" t="str">
        <f t="shared" si="2"/>
        <v>CAN-AB,CAN-BC,CAN-MB,CAN-NB,CAN-NL,CAN-NS</v>
      </c>
      <c r="G38" t="s">
        <v>60</v>
      </c>
      <c r="H38" t="s">
        <v>798</v>
      </c>
    </row>
    <row r="39" spans="1:8" x14ac:dyDescent="0.25">
      <c r="A39" t="str">
        <f t="shared" si="1"/>
        <v>1Canada</v>
      </c>
      <c r="B39" t="s">
        <v>60</v>
      </c>
      <c r="C39" t="s">
        <v>72</v>
      </c>
      <c r="D39" t="str">
        <f t="shared" si="0"/>
        <v>CAN-NT</v>
      </c>
      <c r="E39" t="str">
        <f t="shared" si="2"/>
        <v>CAN-AB,CAN-BC,CAN-MB,CAN-NB,CAN-NL,CAN-NS,CAN-NT</v>
      </c>
      <c r="G39" t="s">
        <v>799</v>
      </c>
      <c r="H39" t="s">
        <v>763</v>
      </c>
    </row>
    <row r="40" spans="1:8" x14ac:dyDescent="0.25">
      <c r="A40" t="str">
        <f t="shared" si="1"/>
        <v>1Canada</v>
      </c>
      <c r="B40" t="s">
        <v>60</v>
      </c>
      <c r="C40" t="s">
        <v>76</v>
      </c>
      <c r="D40" t="str">
        <f t="shared" si="0"/>
        <v>CAN-NU</v>
      </c>
      <c r="E40" t="str">
        <f t="shared" si="2"/>
        <v>CAN-AB,CAN-BC,CAN-MB,CAN-NB,CAN-NL,CAN-NS,CAN-NT,CAN-NU</v>
      </c>
      <c r="G40" t="s">
        <v>800</v>
      </c>
      <c r="H40" t="s">
        <v>768</v>
      </c>
    </row>
    <row r="41" spans="1:8" x14ac:dyDescent="0.25">
      <c r="A41" t="str">
        <f t="shared" si="1"/>
        <v>1Canada</v>
      </c>
      <c r="B41" t="s">
        <v>60</v>
      </c>
      <c r="C41" t="s">
        <v>78</v>
      </c>
      <c r="D41" t="str">
        <f t="shared" si="0"/>
        <v>CAN-ON</v>
      </c>
      <c r="E41" t="str">
        <f t="shared" si="2"/>
        <v>CAN-AB,CAN-BC,CAN-MB,CAN-NB,CAN-NL,CAN-NS,CAN-NT,CAN-NU,CAN-ON</v>
      </c>
      <c r="G41" t="s">
        <v>801</v>
      </c>
      <c r="H41" t="s">
        <v>763</v>
      </c>
    </row>
    <row r="42" spans="1:8" x14ac:dyDescent="0.25">
      <c r="A42" t="str">
        <f t="shared" si="1"/>
        <v>1Canada</v>
      </c>
      <c r="B42" t="s">
        <v>60</v>
      </c>
      <c r="C42" t="s">
        <v>39</v>
      </c>
      <c r="D42" t="str">
        <f t="shared" si="0"/>
        <v>CAN-PE</v>
      </c>
      <c r="E42" t="str">
        <f t="shared" si="2"/>
        <v>CAN-AB,CAN-BC,CAN-MB,CAN-NB,CAN-NL,CAN-NS,CAN-NT,CAN-NU,CAN-ON,CAN-PE</v>
      </c>
      <c r="G42" t="s">
        <v>802</v>
      </c>
      <c r="H42" t="s">
        <v>763</v>
      </c>
    </row>
    <row r="43" spans="1:8" x14ac:dyDescent="0.25">
      <c r="A43" t="str">
        <f t="shared" si="1"/>
        <v>1Canada</v>
      </c>
      <c r="B43" t="s">
        <v>60</v>
      </c>
      <c r="C43" t="s">
        <v>81</v>
      </c>
      <c r="D43" t="str">
        <f t="shared" si="0"/>
        <v>CAN-QC</v>
      </c>
      <c r="E43" t="str">
        <f t="shared" si="2"/>
        <v>CAN-AB,CAN-BC,CAN-MB,CAN-NB,CAN-NL,CAN-NS,CAN-NT,CAN-NU,CAN-ON,CAN-PE,CAN-QC</v>
      </c>
      <c r="G43" t="s">
        <v>803</v>
      </c>
      <c r="H43" t="s">
        <v>804</v>
      </c>
    </row>
    <row r="44" spans="1:8" x14ac:dyDescent="0.25">
      <c r="A44" t="str">
        <f t="shared" si="1"/>
        <v>1Canada</v>
      </c>
      <c r="B44" t="s">
        <v>60</v>
      </c>
      <c r="C44" t="s">
        <v>83</v>
      </c>
      <c r="D44" t="str">
        <f t="shared" si="0"/>
        <v>CAN-SK</v>
      </c>
      <c r="E44" t="str">
        <f t="shared" si="2"/>
        <v>CAN-AB,CAN-BC,CAN-MB,CAN-NB,CAN-NL,CAN-NS,CAN-NT,CAN-NU,CAN-ON,CAN-PE,CAN-QC,CAN-SK</v>
      </c>
      <c r="G44" t="s">
        <v>86</v>
      </c>
      <c r="H44" t="s">
        <v>206</v>
      </c>
    </row>
    <row r="45" spans="1:8" x14ac:dyDescent="0.25">
      <c r="A45" t="str">
        <f t="shared" si="1"/>
        <v>0Canada</v>
      </c>
      <c r="B45" t="s">
        <v>60</v>
      </c>
      <c r="C45" t="s">
        <v>85</v>
      </c>
      <c r="D45" t="str">
        <f t="shared" si="0"/>
        <v>CAN-YT</v>
      </c>
      <c r="E45" t="str">
        <f t="shared" si="2"/>
        <v>CAN-AB,CAN-BC,CAN-MB,CAN-NB,CAN-NL,CAN-NS,CAN-NT,CAN-NU,CAN-ON,CAN-PE,CAN-QC,CAN-SK,CAN-YT</v>
      </c>
      <c r="G45" t="s">
        <v>805</v>
      </c>
      <c r="H45" t="s">
        <v>790</v>
      </c>
    </row>
    <row r="46" spans="1:8" x14ac:dyDescent="0.25">
      <c r="A46" t="str">
        <f t="shared" si="1"/>
        <v>1China</v>
      </c>
      <c r="B46" t="s">
        <v>86</v>
      </c>
      <c r="C46" t="s">
        <v>462</v>
      </c>
      <c r="D46" t="str">
        <f t="shared" si="0"/>
        <v>CHI-AH</v>
      </c>
      <c r="E46" t="str">
        <f t="shared" si="2"/>
        <v>CHI-AH</v>
      </c>
      <c r="G46" t="s">
        <v>806</v>
      </c>
      <c r="H46" t="s">
        <v>768</v>
      </c>
    </row>
    <row r="47" spans="1:8" x14ac:dyDescent="0.25">
      <c r="A47" t="str">
        <f t="shared" si="1"/>
        <v>1China</v>
      </c>
      <c r="B47" t="s">
        <v>86</v>
      </c>
      <c r="C47" t="s">
        <v>463</v>
      </c>
      <c r="D47" t="str">
        <f t="shared" si="0"/>
        <v>CHI-BJ</v>
      </c>
      <c r="E47" t="str">
        <f t="shared" si="2"/>
        <v>CHI-AH,CHI-BJ</v>
      </c>
      <c r="G47" t="s">
        <v>807</v>
      </c>
      <c r="H47" t="s">
        <v>763</v>
      </c>
    </row>
    <row r="48" spans="1:8" x14ac:dyDescent="0.25">
      <c r="A48" t="str">
        <f t="shared" si="1"/>
        <v>1China</v>
      </c>
      <c r="B48" t="s">
        <v>86</v>
      </c>
      <c r="C48" t="s">
        <v>464</v>
      </c>
      <c r="D48" t="str">
        <f t="shared" si="0"/>
        <v>CHI-CQ</v>
      </c>
      <c r="E48" t="str">
        <f t="shared" si="2"/>
        <v>CHI-AH,CHI-BJ,CHI-CQ</v>
      </c>
      <c r="G48" t="s">
        <v>808</v>
      </c>
      <c r="H48" t="s">
        <v>759</v>
      </c>
    </row>
    <row r="49" spans="1:8" x14ac:dyDescent="0.25">
      <c r="A49" t="str">
        <f t="shared" si="1"/>
        <v>1China</v>
      </c>
      <c r="B49" t="s">
        <v>86</v>
      </c>
      <c r="C49" t="s">
        <v>465</v>
      </c>
      <c r="D49" t="str">
        <f t="shared" si="0"/>
        <v>CHI-FJ</v>
      </c>
      <c r="E49" t="str">
        <f t="shared" si="2"/>
        <v>CHI-AH,CHI-BJ,CHI-CQ,CHI-FJ</v>
      </c>
      <c r="G49" t="s">
        <v>809</v>
      </c>
      <c r="H49" t="s">
        <v>768</v>
      </c>
    </row>
    <row r="50" spans="1:8" x14ac:dyDescent="0.25">
      <c r="A50" t="str">
        <f t="shared" si="1"/>
        <v>1China</v>
      </c>
      <c r="B50" t="s">
        <v>86</v>
      </c>
      <c r="C50" t="s">
        <v>466</v>
      </c>
      <c r="D50" t="str">
        <f t="shared" si="0"/>
        <v>CHI-GD</v>
      </c>
      <c r="E50" t="str">
        <f t="shared" si="2"/>
        <v>CHI-AH,CHI-BJ,CHI-CQ,CHI-FJ,CHI-GD</v>
      </c>
      <c r="G50" t="s">
        <v>810</v>
      </c>
      <c r="H50" t="s">
        <v>763</v>
      </c>
    </row>
    <row r="51" spans="1:8" x14ac:dyDescent="0.25">
      <c r="A51" t="str">
        <f t="shared" si="1"/>
        <v>1China</v>
      </c>
      <c r="B51" t="s">
        <v>86</v>
      </c>
      <c r="C51" t="s">
        <v>467</v>
      </c>
      <c r="D51" t="str">
        <f t="shared" si="0"/>
        <v>CHI-GS</v>
      </c>
      <c r="E51" t="str">
        <f t="shared" si="2"/>
        <v>CHI-AH,CHI-BJ,CHI-CQ,CHI-FJ,CHI-GD,CHI-GS</v>
      </c>
      <c r="G51" t="s">
        <v>811</v>
      </c>
      <c r="H51" t="s">
        <v>761</v>
      </c>
    </row>
    <row r="52" spans="1:8" x14ac:dyDescent="0.25">
      <c r="A52" t="str">
        <f t="shared" si="1"/>
        <v>1China</v>
      </c>
      <c r="B52" t="s">
        <v>86</v>
      </c>
      <c r="C52" t="s">
        <v>468</v>
      </c>
      <c r="D52" t="str">
        <f t="shared" si="0"/>
        <v>CHI-GX</v>
      </c>
      <c r="E52" t="str">
        <f t="shared" si="2"/>
        <v>CHI-AH,CHI-BJ,CHI-CQ,CHI-FJ,CHI-GD,CHI-GS,CHI-GX</v>
      </c>
      <c r="G52" t="s">
        <v>812</v>
      </c>
      <c r="H52" t="s">
        <v>768</v>
      </c>
    </row>
    <row r="53" spans="1:8" x14ac:dyDescent="0.25">
      <c r="A53" t="str">
        <f t="shared" si="1"/>
        <v>1China</v>
      </c>
      <c r="B53" t="s">
        <v>86</v>
      </c>
      <c r="C53" t="s">
        <v>469</v>
      </c>
      <c r="D53" t="str">
        <f t="shared" si="0"/>
        <v>CHI-GZ</v>
      </c>
      <c r="E53" t="str">
        <f t="shared" si="2"/>
        <v>CHI-AH,CHI-BJ,CHI-CQ,CHI-FJ,CHI-GD,CHI-GS,CHI-GX,CHI-GZ</v>
      </c>
      <c r="G53" t="s">
        <v>813</v>
      </c>
      <c r="H53" t="s">
        <v>768</v>
      </c>
    </row>
    <row r="54" spans="1:8" x14ac:dyDescent="0.25">
      <c r="A54" t="str">
        <f t="shared" si="1"/>
        <v>1China</v>
      </c>
      <c r="B54" t="s">
        <v>86</v>
      </c>
      <c r="C54" t="s">
        <v>475</v>
      </c>
      <c r="D54" t="str">
        <f t="shared" si="0"/>
        <v>CHI-HA</v>
      </c>
      <c r="E54" t="str">
        <f t="shared" si="2"/>
        <v>CHI-AH,CHI-BJ,CHI-CQ,CHI-FJ,CHI-GD,CHI-GS,CHI-GX,CHI-GZ,CHI-HA</v>
      </c>
      <c r="G54" t="s">
        <v>814</v>
      </c>
      <c r="H54" t="s">
        <v>777</v>
      </c>
    </row>
    <row r="55" spans="1:8" x14ac:dyDescent="0.25">
      <c r="A55" t="str">
        <f t="shared" si="1"/>
        <v>1China</v>
      </c>
      <c r="B55" t="s">
        <v>86</v>
      </c>
      <c r="C55" t="s">
        <v>474</v>
      </c>
      <c r="D55" t="str">
        <f t="shared" si="0"/>
        <v>CHI-HB</v>
      </c>
      <c r="E55" t="str">
        <f t="shared" si="2"/>
        <v>CHI-AH,CHI-BJ,CHI-CQ,CHI-FJ,CHI-GD,CHI-GS,CHI-GX,CHI-GZ,CHI-HA,CHI-HB</v>
      </c>
      <c r="G55" t="s">
        <v>815</v>
      </c>
      <c r="H55" t="s">
        <v>765</v>
      </c>
    </row>
    <row r="56" spans="1:8" x14ac:dyDescent="0.25">
      <c r="A56" t="str">
        <f t="shared" si="1"/>
        <v>1China</v>
      </c>
      <c r="B56" t="s">
        <v>86</v>
      </c>
      <c r="C56" t="s">
        <v>471</v>
      </c>
      <c r="D56" t="str">
        <f t="shared" si="0"/>
        <v>CHI-HE</v>
      </c>
      <c r="E56" t="str">
        <f t="shared" si="2"/>
        <v>CHI-AH,CHI-BJ,CHI-CQ,CHI-FJ,CHI-GD,CHI-GS,CHI-GX,CHI-GZ,CHI-HA,CHI-HB,CHI-HE</v>
      </c>
      <c r="G56" t="s">
        <v>816</v>
      </c>
      <c r="H56" t="s">
        <v>759</v>
      </c>
    </row>
    <row r="57" spans="1:8" x14ac:dyDescent="0.25">
      <c r="A57" t="str">
        <f t="shared" si="1"/>
        <v>1China</v>
      </c>
      <c r="B57" t="s">
        <v>86</v>
      </c>
      <c r="C57" t="s">
        <v>384</v>
      </c>
      <c r="D57" t="str">
        <f t="shared" si="0"/>
        <v>CHI-HI</v>
      </c>
      <c r="E57" t="str">
        <f t="shared" si="2"/>
        <v>CHI-AH,CHI-BJ,CHI-CQ,CHI-FJ,CHI-GD,CHI-GS,CHI-GX,CHI-GZ,CHI-HA,CHI-HB,CHI-HE,CHI-HI</v>
      </c>
      <c r="G57" t="s">
        <v>817</v>
      </c>
      <c r="H57" t="s">
        <v>763</v>
      </c>
    </row>
    <row r="58" spans="1:8" x14ac:dyDescent="0.25">
      <c r="A58" t="str">
        <f t="shared" si="1"/>
        <v>1China</v>
      </c>
      <c r="B58" t="s">
        <v>86</v>
      </c>
      <c r="C58" t="s">
        <v>473</v>
      </c>
      <c r="D58" t="str">
        <f t="shared" si="0"/>
        <v>CHI-HK</v>
      </c>
      <c r="E58" t="str">
        <f t="shared" si="2"/>
        <v>CHI-AH,CHI-BJ,CHI-CQ,CHI-FJ,CHI-GD,CHI-GS,CHI-GX,CHI-GZ,CHI-HA,CHI-HB,CHI-HE,CHI-HI,CHI-HK</v>
      </c>
      <c r="G58" t="s">
        <v>818</v>
      </c>
      <c r="H58" t="s">
        <v>765</v>
      </c>
    </row>
    <row r="59" spans="1:8" x14ac:dyDescent="0.25">
      <c r="A59" t="str">
        <f t="shared" si="1"/>
        <v>1China</v>
      </c>
      <c r="B59" t="s">
        <v>86</v>
      </c>
      <c r="C59" t="s">
        <v>472</v>
      </c>
      <c r="D59" t="str">
        <f t="shared" si="0"/>
        <v>CHI-HL</v>
      </c>
      <c r="E59" t="str">
        <f t="shared" si="2"/>
        <v>CHI-AH,CHI-BJ,CHI-CQ,CHI-FJ,CHI-GD,CHI-GS,CHI-GX,CHI-GZ,CHI-HA,CHI-HB,CHI-HE,CHI-HI,CHI-HK,CHI-HL</v>
      </c>
      <c r="G59" t="s">
        <v>819</v>
      </c>
      <c r="H59" t="s">
        <v>763</v>
      </c>
    </row>
    <row r="60" spans="1:8" x14ac:dyDescent="0.25">
      <c r="A60" t="str">
        <f t="shared" si="1"/>
        <v>1China</v>
      </c>
      <c r="B60" t="s">
        <v>86</v>
      </c>
      <c r="C60" t="s">
        <v>470</v>
      </c>
      <c r="D60" t="str">
        <f t="shared" si="0"/>
        <v>CHI-HN</v>
      </c>
      <c r="E60" t="str">
        <f t="shared" si="2"/>
        <v>CHI-AH,CHI-BJ,CHI-CQ,CHI-FJ,CHI-GD,CHI-GS,CHI-GX,CHI-GZ,CHI-HA,CHI-HB,CHI-HE,CHI-HI,CHI-HK,CHI-HL,CHI-HN</v>
      </c>
      <c r="G60" t="s">
        <v>820</v>
      </c>
      <c r="H60" t="s">
        <v>768</v>
      </c>
    </row>
    <row r="61" spans="1:8" x14ac:dyDescent="0.25">
      <c r="A61" t="str">
        <f t="shared" si="1"/>
        <v>1China</v>
      </c>
      <c r="B61" t="s">
        <v>86</v>
      </c>
      <c r="C61" t="s">
        <v>478</v>
      </c>
      <c r="D61" t="str">
        <f t="shared" si="0"/>
        <v>CHI-JL</v>
      </c>
      <c r="E61" t="str">
        <f t="shared" si="2"/>
        <v>CHI-AH,CHI-BJ,CHI-CQ,CHI-FJ,CHI-GD,CHI-GS,CHI-GX,CHI-GZ,CHI-HA,CHI-HB,CHI-HE,CHI-HI,CHI-HK,CHI-HL,CHI-HN,CHI-JL</v>
      </c>
      <c r="G61" t="s">
        <v>821</v>
      </c>
      <c r="H61" t="s">
        <v>768</v>
      </c>
    </row>
    <row r="62" spans="1:8" x14ac:dyDescent="0.25">
      <c r="A62" t="str">
        <f t="shared" si="1"/>
        <v>1China</v>
      </c>
      <c r="B62" t="s">
        <v>86</v>
      </c>
      <c r="C62" t="s">
        <v>476</v>
      </c>
      <c r="D62" t="str">
        <f t="shared" si="0"/>
        <v>CHI-JS</v>
      </c>
      <c r="E62" t="str">
        <f t="shared" si="2"/>
        <v>CHI-AH,CHI-BJ,CHI-CQ,CHI-FJ,CHI-GD,CHI-GS,CHI-GX,CHI-GZ,CHI-HA,CHI-HB,CHI-HE,CHI-HI,CHI-HK,CHI-HL,CHI-HN,CHI-JL,CHI-JS</v>
      </c>
      <c r="G62" t="s">
        <v>822</v>
      </c>
      <c r="H62" t="s">
        <v>768</v>
      </c>
    </row>
    <row r="63" spans="1:8" x14ac:dyDescent="0.25">
      <c r="A63" t="str">
        <f t="shared" si="1"/>
        <v>1China</v>
      </c>
      <c r="B63" t="s">
        <v>86</v>
      </c>
      <c r="C63" t="s">
        <v>477</v>
      </c>
      <c r="D63" t="str">
        <f t="shared" si="0"/>
        <v>CHI-JX</v>
      </c>
      <c r="E63" t="str">
        <f t="shared" si="2"/>
        <v>CHI-AH,CHI-BJ,CHI-CQ,CHI-FJ,CHI-GD,CHI-GS,CHI-GX,CHI-GZ,CHI-HA,CHI-HB,CHI-HE,CHI-HI,CHI-HK,CHI-HL,CHI-HN,CHI-JL,CHI-JS,CHI-JX</v>
      </c>
      <c r="G63" t="s">
        <v>823</v>
      </c>
      <c r="H63" t="s">
        <v>763</v>
      </c>
    </row>
    <row r="64" spans="1:8" x14ac:dyDescent="0.25">
      <c r="A64" t="str">
        <f t="shared" si="1"/>
        <v>1China</v>
      </c>
      <c r="B64" t="s">
        <v>86</v>
      </c>
      <c r="C64" t="s">
        <v>479</v>
      </c>
      <c r="D64" t="str">
        <f t="shared" si="0"/>
        <v>CHI-LN</v>
      </c>
      <c r="E64" t="str">
        <f t="shared" si="2"/>
        <v>CHI-AH,CHI-BJ,CHI-CQ,CHI-FJ,CHI-GD,CHI-GS,CHI-GX,CHI-GZ,CHI-HA,CHI-HB,CHI-HE,CHI-HI,CHI-HK,CHI-HL,CHI-HN,CHI-JL,CHI-JS,CHI-JX,CHI-LN</v>
      </c>
      <c r="G64" t="s">
        <v>824</v>
      </c>
      <c r="H64" t="s">
        <v>768</v>
      </c>
    </row>
    <row r="65" spans="1:8" x14ac:dyDescent="0.25">
      <c r="A65" t="str">
        <f t="shared" si="1"/>
        <v>1China</v>
      </c>
      <c r="B65" t="s">
        <v>86</v>
      </c>
      <c r="C65" t="s">
        <v>269</v>
      </c>
      <c r="D65" t="str">
        <f t="shared" si="0"/>
        <v>CHI-MO</v>
      </c>
      <c r="E65" t="str">
        <f t="shared" si="2"/>
        <v>CHI-AH,CHI-BJ,CHI-CQ,CHI-FJ,CHI-GD,CHI-GS,CHI-GX,CHI-GZ,CHI-HA,CHI-HB,CHI-HE,CHI-HI,CHI-HK,CHI-HL,CHI-HN,CHI-JL,CHI-JS,CHI-JX,CHI-LN,CHI-MO</v>
      </c>
      <c r="G65" t="s">
        <v>825</v>
      </c>
      <c r="H65" t="s">
        <v>763</v>
      </c>
    </row>
    <row r="66" spans="1:8" x14ac:dyDescent="0.25">
      <c r="A66" t="str">
        <f t="shared" si="1"/>
        <v>1China</v>
      </c>
      <c r="B66" t="s">
        <v>86</v>
      </c>
      <c r="C66" t="s">
        <v>417</v>
      </c>
      <c r="D66" t="str">
        <f t="shared" si="0"/>
        <v>CHI-NM</v>
      </c>
      <c r="E66" t="str">
        <f t="shared" si="2"/>
        <v>CHI-AH,CHI-BJ,CHI-CQ,CHI-FJ,CHI-GD,CHI-GS,CHI-GX,CHI-GZ,CHI-HA,CHI-HB,CHI-HE,CHI-HI,CHI-HK,CHI-HL,CHI-HN,CHI-JL,CHI-JS,CHI-JX,CHI-LN,CHI-MO,CHI-NM</v>
      </c>
      <c r="G66" t="s">
        <v>826</v>
      </c>
      <c r="H66" t="s">
        <v>763</v>
      </c>
    </row>
    <row r="67" spans="1:8" x14ac:dyDescent="0.25">
      <c r="A67" t="str">
        <f t="shared" si="1"/>
        <v>1China</v>
      </c>
      <c r="B67" t="s">
        <v>86</v>
      </c>
      <c r="C67" t="s">
        <v>480</v>
      </c>
      <c r="D67" t="str">
        <f t="shared" si="0"/>
        <v>CHI-NX</v>
      </c>
      <c r="E67" t="str">
        <f t="shared" si="2"/>
        <v>CHI-AH,CHI-BJ,CHI-CQ,CHI-FJ,CHI-GD,CHI-GS,CHI-GX,CHI-GZ,CHI-HA,CHI-HB,CHI-HE,CHI-HI,CHI-HK,CHI-HL,CHI-HN,CHI-JL,CHI-JS,CHI-JX,CHI-LN,CHI-MO,CHI-NM,CHI-NX</v>
      </c>
      <c r="G67" t="s">
        <v>827</v>
      </c>
      <c r="H67" t="s">
        <v>765</v>
      </c>
    </row>
    <row r="68" spans="1:8" x14ac:dyDescent="0.25">
      <c r="A68" t="str">
        <f t="shared" si="1"/>
        <v>1China</v>
      </c>
      <c r="B68" t="s">
        <v>86</v>
      </c>
      <c r="C68" t="s">
        <v>481</v>
      </c>
      <c r="D68" t="str">
        <f t="shared" si="0"/>
        <v>CHI-QH</v>
      </c>
      <c r="E68" t="str">
        <f t="shared" si="2"/>
        <v>CHI-AH,CHI-BJ,CHI-CQ,CHI-FJ,CHI-GD,CHI-GS,CHI-GX,CHI-GZ,CHI-HA,CHI-HB,CHI-HE,CHI-HI,CHI-HK,CHI-HL,CHI-HN,CHI-JL,CHI-JS,CHI-JX,CHI-LN,CHI-MO,CHI-NM,CHI-NX,CHI-QH</v>
      </c>
      <c r="G68" t="s">
        <v>828</v>
      </c>
      <c r="H68" t="s">
        <v>763</v>
      </c>
    </row>
    <row r="69" spans="1:8" x14ac:dyDescent="0.25">
      <c r="A69" t="str">
        <f t="shared" si="1"/>
        <v>1China</v>
      </c>
      <c r="B69" t="s">
        <v>86</v>
      </c>
      <c r="C69" t="s">
        <v>53</v>
      </c>
      <c r="D69" t="str">
        <f t="shared" ref="D69:D132" si="5">VLOOKUP(B69,$G$5:$H$234,2,FALSE)&amp;"-"&amp;C69</f>
        <v>CHI-SC</v>
      </c>
      <c r="E69" t="str">
        <f t="shared" si="2"/>
        <v>CHI-AH,CHI-BJ,CHI-CQ,CHI-FJ,CHI-GD,CHI-GS,CHI-GX,CHI-GZ,CHI-HA,CHI-HB,CHI-HE,CHI-HI,CHI-HK,CHI-HL,CHI-HN,CHI-JL,CHI-JS,CHI-JX,CHI-LN,CHI-MO,CHI-NM,CHI-NX,CHI-QH,CHI-SC</v>
      </c>
      <c r="G69" t="s">
        <v>829</v>
      </c>
      <c r="H69" t="s">
        <v>761</v>
      </c>
    </row>
    <row r="70" spans="1:8" x14ac:dyDescent="0.25">
      <c r="A70" t="str">
        <f t="shared" ref="A70:A133" si="6">IF(B70=B71,1,0)&amp;B70</f>
        <v>1China</v>
      </c>
      <c r="B70" t="s">
        <v>86</v>
      </c>
      <c r="C70" t="s">
        <v>436</v>
      </c>
      <c r="D70" t="str">
        <f t="shared" si="5"/>
        <v>CHI-SD</v>
      </c>
      <c r="E70" t="str">
        <f t="shared" ref="E70:E133" si="7">IF(B70=B69,E69&amp;","&amp;D70,D70)</f>
        <v>CHI-AH,CHI-BJ,CHI-CQ,CHI-FJ,CHI-GD,CHI-GS,CHI-GX,CHI-GZ,CHI-HA,CHI-HB,CHI-HE,CHI-HI,CHI-HK,CHI-HL,CHI-HN,CHI-JL,CHI-JS,CHI-JX,CHI-LN,CHI-MO,CHI-NM,CHI-NX,CHI-QH,CHI-SC,CHI-SD</v>
      </c>
      <c r="G70" t="s">
        <v>830</v>
      </c>
      <c r="H70" t="s">
        <v>759</v>
      </c>
    </row>
    <row r="71" spans="1:8" x14ac:dyDescent="0.25">
      <c r="A71" t="str">
        <f t="shared" si="6"/>
        <v>1China</v>
      </c>
      <c r="B71" t="s">
        <v>86</v>
      </c>
      <c r="C71" t="s">
        <v>483</v>
      </c>
      <c r="D71" t="str">
        <f t="shared" si="5"/>
        <v>CHI-SH</v>
      </c>
      <c r="E71" t="str">
        <f t="shared" si="7"/>
        <v>CHI-AH,CHI-BJ,CHI-CQ,CHI-FJ,CHI-GD,CHI-GS,CHI-GX,CHI-GZ,CHI-HA,CHI-HB,CHI-HE,CHI-HI,CHI-HK,CHI-HL,CHI-HN,CHI-JL,CHI-JS,CHI-JX,CHI-LN,CHI-MO,CHI-NM,CHI-NX,CHI-QH,CHI-SC,CHI-SD,CHI-SH</v>
      </c>
      <c r="G71" t="s">
        <v>831</v>
      </c>
      <c r="H71" t="s">
        <v>765</v>
      </c>
    </row>
    <row r="72" spans="1:8" x14ac:dyDescent="0.25">
      <c r="A72" t="str">
        <f t="shared" si="6"/>
        <v>1China</v>
      </c>
      <c r="B72" t="s">
        <v>86</v>
      </c>
      <c r="C72" t="s">
        <v>482</v>
      </c>
      <c r="D72" t="str">
        <f t="shared" si="5"/>
        <v>CHI-SN</v>
      </c>
      <c r="E72" t="str">
        <f t="shared" si="7"/>
        <v>CHI-AH,CHI-BJ,CHI-CQ,CHI-FJ,CHI-GD,CHI-GS,CHI-GX,CHI-GZ,CHI-HA,CHI-HB,CHI-HE,CHI-HI,CHI-HK,CHI-HL,CHI-HN,CHI-JL,CHI-JS,CHI-JX,CHI-LN,CHI-MO,CHI-NM,CHI-NX,CHI-QH,CHI-SC,CHI-SD,CHI-SH,CHI-SN</v>
      </c>
      <c r="G72" t="s">
        <v>832</v>
      </c>
      <c r="H72" t="s">
        <v>765</v>
      </c>
    </row>
    <row r="73" spans="1:8" x14ac:dyDescent="0.25">
      <c r="A73" t="str">
        <f t="shared" si="6"/>
        <v>1China</v>
      </c>
      <c r="B73" t="s">
        <v>86</v>
      </c>
      <c r="C73" t="s">
        <v>484</v>
      </c>
      <c r="D73" t="str">
        <f t="shared" si="5"/>
        <v>CHI-SX</v>
      </c>
      <c r="E73" t="str">
        <f t="shared" si="7"/>
        <v>CHI-AH,CHI-BJ,CHI-CQ,CHI-FJ,CHI-GD,CHI-GS,CHI-GX,CHI-GZ,CHI-HA,CHI-HB,CHI-HE,CHI-HI,CHI-HK,CHI-HL,CHI-HN,CHI-JL,CHI-JS,CHI-JX,CHI-LN,CHI-MO,CHI-NM,CHI-NX,CHI-QH,CHI-SC,CHI-SD,CHI-SH,CHI-SN,CHI-SX</v>
      </c>
      <c r="G73" t="s">
        <v>833</v>
      </c>
      <c r="H73" t="s">
        <v>768</v>
      </c>
    </row>
    <row r="74" spans="1:8" x14ac:dyDescent="0.25">
      <c r="A74" t="str">
        <f t="shared" si="6"/>
        <v>1China</v>
      </c>
      <c r="B74" t="s">
        <v>86</v>
      </c>
      <c r="C74" t="s">
        <v>486</v>
      </c>
      <c r="D74" t="str">
        <f t="shared" si="5"/>
        <v>CHI-TJ</v>
      </c>
      <c r="E74" t="str">
        <f t="shared" si="7"/>
        <v>CHI-AH,CHI-BJ,CHI-CQ,CHI-FJ,CHI-GD,CHI-GS,CHI-GX,CHI-GZ,CHI-HA,CHI-HB,CHI-HE,CHI-HI,CHI-HK,CHI-HL,CHI-HN,CHI-JL,CHI-JS,CHI-JX,CHI-LN,CHI-MO,CHI-NM,CHI-NX,CHI-QH,CHI-SC,CHI-SD,CHI-SH,CHI-SN,CHI-SX,CHI-TJ</v>
      </c>
      <c r="G74" t="s">
        <v>834</v>
      </c>
      <c r="H74" t="s">
        <v>759</v>
      </c>
    </row>
    <row r="75" spans="1:8" x14ac:dyDescent="0.25">
      <c r="A75" t="str">
        <f t="shared" si="6"/>
        <v>1China</v>
      </c>
      <c r="B75" t="s">
        <v>86</v>
      </c>
      <c r="C75" t="s">
        <v>485</v>
      </c>
      <c r="D75" t="str">
        <f t="shared" si="5"/>
        <v>CHI-TW</v>
      </c>
      <c r="E75" t="str">
        <f t="shared" si="7"/>
        <v>CHI-AH,CHI-BJ,CHI-CQ,CHI-FJ,CHI-GD,CHI-GS,CHI-GX,CHI-GZ,CHI-HA,CHI-HB,CHI-HE,CHI-HI,CHI-HK,CHI-HL,CHI-HN,CHI-JL,CHI-JS,CHI-JX,CHI-LN,CHI-MO,CHI-NM,CHI-NX,CHI-QH,CHI-SC,CHI-SD,CHI-SH,CHI-SN,CHI-SX,CHI-TJ,CHI-TW</v>
      </c>
      <c r="G75" t="s">
        <v>835</v>
      </c>
      <c r="H75" t="s">
        <v>763</v>
      </c>
    </row>
    <row r="76" spans="1:8" x14ac:dyDescent="0.25">
      <c r="A76" t="str">
        <f t="shared" si="6"/>
        <v>1China</v>
      </c>
      <c r="B76" t="s">
        <v>86</v>
      </c>
      <c r="C76" t="s">
        <v>487</v>
      </c>
      <c r="D76" t="str">
        <f t="shared" si="5"/>
        <v>CHI-XJ</v>
      </c>
      <c r="E76" t="str">
        <f t="shared" si="7"/>
        <v>CHI-AH,CHI-BJ,CHI-CQ,CHI-FJ,CHI-GD,CHI-GS,CHI-GX,CHI-GZ,CHI-HA,CHI-HB,CHI-HE,CHI-HI,CHI-HK,CHI-HL,CHI-HN,CHI-JL,CHI-JS,CHI-JX,CHI-LN,CHI-MO,CHI-NM,CHI-NX,CHI-QH,CHI-SC,CHI-SD,CHI-SH,CHI-SN,CHI-SX,CHI-TJ,CHI-TW,CHI-XJ</v>
      </c>
      <c r="G76" t="s">
        <v>380</v>
      </c>
      <c r="H76" t="s">
        <v>761</v>
      </c>
    </row>
    <row r="77" spans="1:8" x14ac:dyDescent="0.25">
      <c r="A77" t="str">
        <f t="shared" si="6"/>
        <v>1China</v>
      </c>
      <c r="B77" t="s">
        <v>86</v>
      </c>
      <c r="C77" t="s">
        <v>488</v>
      </c>
      <c r="D77" t="str">
        <f t="shared" si="5"/>
        <v>CHI-XZ</v>
      </c>
      <c r="E77" t="str">
        <f t="shared" si="7"/>
        <v>CHI-AH,CHI-BJ,CHI-CQ,CHI-FJ,CHI-GD,CHI-GS,CHI-GX,CHI-GZ,CHI-HA,CHI-HB,CHI-HE,CHI-HI,CHI-HK,CHI-HL,CHI-HN,CHI-JL,CHI-JS,CHI-JX,CHI-LN,CHI-MO,CHI-NM,CHI-NX,CHI-QH,CHI-SC,CHI-SD,CHI-SH,CHI-SN,CHI-SX,CHI-TJ,CHI-TW,CHI-XJ,CHI-XZ</v>
      </c>
      <c r="G77" t="s">
        <v>836</v>
      </c>
      <c r="H77" t="s">
        <v>765</v>
      </c>
    </row>
    <row r="78" spans="1:8" x14ac:dyDescent="0.25">
      <c r="A78" t="str">
        <f t="shared" si="6"/>
        <v>1China</v>
      </c>
      <c r="B78" t="s">
        <v>86</v>
      </c>
      <c r="C78" t="s">
        <v>489</v>
      </c>
      <c r="D78" t="str">
        <f t="shared" si="5"/>
        <v>CHI-YN</v>
      </c>
      <c r="E78" t="str">
        <f t="shared" si="7"/>
        <v>CHI-AH,CHI-BJ,CHI-CQ,CHI-FJ,CHI-GD,CHI-GS,CHI-GX,CHI-GZ,CHI-HA,CHI-HB,CHI-HE,CHI-HI,CHI-HK,CHI-HL,CHI-HN,CHI-JL,CHI-JS,CHI-JX,CHI-LN,CHI-MO,CHI-NM,CHI-NX,CHI-QH,CHI-SC,CHI-SD,CHI-SH,CHI-SN,CHI-SX,CHI-TJ,CHI-TW,CHI-XJ,CHI-XZ,CHI-YN</v>
      </c>
      <c r="G78" t="s">
        <v>837</v>
      </c>
      <c r="H78" t="s">
        <v>763</v>
      </c>
    </row>
    <row r="79" spans="1:8" x14ac:dyDescent="0.25">
      <c r="A79" t="str">
        <f t="shared" si="6"/>
        <v>0China</v>
      </c>
      <c r="B79" t="s">
        <v>86</v>
      </c>
      <c r="C79" t="s">
        <v>490</v>
      </c>
      <c r="D79" t="str">
        <f t="shared" si="5"/>
        <v>CHI-ZJ</v>
      </c>
      <c r="E79" t="str">
        <f t="shared" si="7"/>
        <v>CHI-AH,CHI-BJ,CHI-CQ,CHI-FJ,CHI-GD,CHI-GS,CHI-GX,CHI-GZ,CHI-HA,CHI-HB,CHI-HE,CHI-HI,CHI-HK,CHI-HL,CHI-HN,CHI-JL,CHI-JS,CHI-JX,CHI-LN,CHI-MO,CHI-NM,CHI-NX,CHI-QH,CHI-SC,CHI-SD,CHI-SH,CHI-SN,CHI-SX,CHI-TJ,CHI-TW,CHI-XJ,CHI-XZ,CHI-YN,CHI-ZJ</v>
      </c>
      <c r="G79" t="s">
        <v>838</v>
      </c>
      <c r="H79" t="s">
        <v>765</v>
      </c>
    </row>
    <row r="80" spans="1:8" x14ac:dyDescent="0.25">
      <c r="A80" t="str">
        <f t="shared" si="6"/>
        <v>1India</v>
      </c>
      <c r="B80" t="s">
        <v>120</v>
      </c>
      <c r="C80" t="s">
        <v>122</v>
      </c>
      <c r="D80" t="str">
        <f t="shared" si="5"/>
        <v>IND-AN</v>
      </c>
      <c r="E80" t="str">
        <f t="shared" si="7"/>
        <v>IND-AN</v>
      </c>
      <c r="G80" t="s">
        <v>839</v>
      </c>
      <c r="H80" t="s">
        <v>765</v>
      </c>
    </row>
    <row r="81" spans="1:8" x14ac:dyDescent="0.25">
      <c r="A81" t="str">
        <f t="shared" si="6"/>
        <v>1India</v>
      </c>
      <c r="B81" t="s">
        <v>120</v>
      </c>
      <c r="C81" t="s">
        <v>9</v>
      </c>
      <c r="D81" t="str">
        <f t="shared" si="5"/>
        <v>IND-AP</v>
      </c>
      <c r="E81" t="str">
        <f t="shared" si="7"/>
        <v>IND-AN,IND-AP</v>
      </c>
      <c r="G81" t="s">
        <v>840</v>
      </c>
      <c r="H81" t="s">
        <v>765</v>
      </c>
    </row>
    <row r="82" spans="1:8" x14ac:dyDescent="0.25">
      <c r="A82" t="str">
        <f t="shared" si="6"/>
        <v>1India</v>
      </c>
      <c r="B82" t="s">
        <v>120</v>
      </c>
      <c r="C82" t="s">
        <v>125</v>
      </c>
      <c r="D82" t="str">
        <f t="shared" si="5"/>
        <v>IND-AR</v>
      </c>
      <c r="E82" t="str">
        <f t="shared" si="7"/>
        <v>IND-AN,IND-AP,IND-AR</v>
      </c>
      <c r="G82" t="s">
        <v>841</v>
      </c>
      <c r="H82" t="s">
        <v>768</v>
      </c>
    </row>
    <row r="83" spans="1:8" x14ac:dyDescent="0.25">
      <c r="A83" t="str">
        <f t="shared" si="6"/>
        <v>1India</v>
      </c>
      <c r="B83" t="s">
        <v>120</v>
      </c>
      <c r="C83" t="s">
        <v>127</v>
      </c>
      <c r="D83" t="str">
        <f t="shared" si="5"/>
        <v>IND-AS</v>
      </c>
      <c r="E83" t="str">
        <f t="shared" si="7"/>
        <v>IND-AN,IND-AP,IND-AR,IND-AS</v>
      </c>
      <c r="G83" t="s">
        <v>381</v>
      </c>
      <c r="H83" t="s">
        <v>759</v>
      </c>
    </row>
    <row r="84" spans="1:8" x14ac:dyDescent="0.25">
      <c r="A84" t="str">
        <f t="shared" si="6"/>
        <v>1India</v>
      </c>
      <c r="B84" t="s">
        <v>120</v>
      </c>
      <c r="C84" t="s">
        <v>129</v>
      </c>
      <c r="D84" t="str">
        <f t="shared" si="5"/>
        <v>IND-BR</v>
      </c>
      <c r="E84" t="str">
        <f t="shared" si="7"/>
        <v>IND-AN,IND-AP,IND-AR,IND-AS,IND-BR</v>
      </c>
      <c r="G84" t="s">
        <v>842</v>
      </c>
      <c r="H84" t="s">
        <v>768</v>
      </c>
    </row>
    <row r="85" spans="1:8" x14ac:dyDescent="0.25">
      <c r="A85" t="str">
        <f t="shared" si="6"/>
        <v>1India</v>
      </c>
      <c r="B85" t="s">
        <v>120</v>
      </c>
      <c r="C85" t="s">
        <v>131</v>
      </c>
      <c r="D85" t="str">
        <f t="shared" si="5"/>
        <v>IND-CH</v>
      </c>
      <c r="E85" t="str">
        <f t="shared" si="7"/>
        <v>IND-AN,IND-AP,IND-AR,IND-AS,IND-BR,IND-CH</v>
      </c>
      <c r="G85" t="s">
        <v>843</v>
      </c>
      <c r="H85" t="s">
        <v>790</v>
      </c>
    </row>
    <row r="86" spans="1:8" x14ac:dyDescent="0.25">
      <c r="A86" t="str">
        <f t="shared" si="6"/>
        <v>1India</v>
      </c>
      <c r="B86" t="s">
        <v>120</v>
      </c>
      <c r="C86" t="s">
        <v>373</v>
      </c>
      <c r="D86" t="str">
        <f t="shared" si="5"/>
        <v>IND-CT</v>
      </c>
      <c r="E86" t="str">
        <f t="shared" si="7"/>
        <v>IND-AN,IND-AP,IND-AR,IND-AS,IND-BR,IND-CH,IND-CT</v>
      </c>
      <c r="G86" t="s">
        <v>844</v>
      </c>
      <c r="H86" t="s">
        <v>763</v>
      </c>
    </row>
    <row r="87" spans="1:8" x14ac:dyDescent="0.25">
      <c r="A87" t="str">
        <f t="shared" si="6"/>
        <v>1India</v>
      </c>
      <c r="B87" t="s">
        <v>120</v>
      </c>
      <c r="C87" t="s">
        <v>135</v>
      </c>
      <c r="D87" t="str">
        <f t="shared" si="5"/>
        <v>IND-DD</v>
      </c>
      <c r="E87" t="str">
        <f t="shared" si="7"/>
        <v>IND-AN,IND-AP,IND-AR,IND-AS,IND-BR,IND-CH,IND-CT,IND-DD</v>
      </c>
      <c r="G87" t="s">
        <v>845</v>
      </c>
      <c r="H87" t="s">
        <v>763</v>
      </c>
    </row>
    <row r="88" spans="1:8" x14ac:dyDescent="0.25">
      <c r="A88" t="str">
        <f t="shared" si="6"/>
        <v>1India</v>
      </c>
      <c r="B88" t="s">
        <v>120</v>
      </c>
      <c r="C88" t="s">
        <v>137</v>
      </c>
      <c r="D88" t="str">
        <f t="shared" si="5"/>
        <v>IND-DL</v>
      </c>
      <c r="E88" t="str">
        <f t="shared" si="7"/>
        <v>IND-AN,IND-AP,IND-AR,IND-AS,IND-BR,IND-CH,IND-CT,IND-DD,IND-DL</v>
      </c>
      <c r="G88" t="s">
        <v>846</v>
      </c>
      <c r="H88" t="s">
        <v>768</v>
      </c>
    </row>
    <row r="89" spans="1:8" x14ac:dyDescent="0.25">
      <c r="A89" t="str">
        <f t="shared" si="6"/>
        <v>1India</v>
      </c>
      <c r="B89" t="s">
        <v>120</v>
      </c>
      <c r="C89" t="s">
        <v>133</v>
      </c>
      <c r="D89" t="str">
        <f t="shared" si="5"/>
        <v>IND-DN</v>
      </c>
      <c r="E89" t="str">
        <f t="shared" si="7"/>
        <v>IND-AN,IND-AP,IND-AR,IND-AS,IND-BR,IND-CH,IND-CT,IND-DD,IND-DL,IND-DN</v>
      </c>
      <c r="G89" t="s">
        <v>847</v>
      </c>
      <c r="H89" t="s">
        <v>768</v>
      </c>
    </row>
    <row r="90" spans="1:8" x14ac:dyDescent="0.25">
      <c r="A90" t="str">
        <f t="shared" si="6"/>
        <v>1India</v>
      </c>
      <c r="B90" t="s">
        <v>120</v>
      </c>
      <c r="C90" t="s">
        <v>139</v>
      </c>
      <c r="D90" t="str">
        <f t="shared" si="5"/>
        <v>IND-GA</v>
      </c>
      <c r="E90" t="str">
        <f t="shared" si="7"/>
        <v>IND-AN,IND-AP,IND-AR,IND-AS,IND-BR,IND-CH,IND-CT,IND-DD,IND-DL,IND-DN,IND-GA</v>
      </c>
      <c r="G90" t="s">
        <v>848</v>
      </c>
      <c r="H90" t="s">
        <v>768</v>
      </c>
    </row>
    <row r="91" spans="1:8" x14ac:dyDescent="0.25">
      <c r="A91" t="str">
        <f t="shared" si="6"/>
        <v>1India</v>
      </c>
      <c r="B91" t="s">
        <v>120</v>
      </c>
      <c r="C91" t="s">
        <v>141</v>
      </c>
      <c r="D91" t="str">
        <f t="shared" si="5"/>
        <v>IND-GJ</v>
      </c>
      <c r="E91" t="str">
        <f t="shared" si="7"/>
        <v>IND-AN,IND-AP,IND-AR,IND-AS,IND-BR,IND-CH,IND-CT,IND-DD,IND-DL,IND-DN,IND-GA,IND-GJ</v>
      </c>
      <c r="G91" t="s">
        <v>849</v>
      </c>
      <c r="H91" t="s">
        <v>759</v>
      </c>
    </row>
    <row r="92" spans="1:8" x14ac:dyDescent="0.25">
      <c r="A92" t="str">
        <f t="shared" si="6"/>
        <v>1India</v>
      </c>
      <c r="B92" t="s">
        <v>120</v>
      </c>
      <c r="C92" t="s">
        <v>145</v>
      </c>
      <c r="D92" t="str">
        <f t="shared" si="5"/>
        <v>IND-HP</v>
      </c>
      <c r="E92" t="str">
        <f t="shared" si="7"/>
        <v>IND-AN,IND-AP,IND-AR,IND-AS,IND-BR,IND-CH,IND-CT,IND-DD,IND-DL,IND-DN,IND-GA,IND-GJ,IND-HP</v>
      </c>
      <c r="G92" t="s">
        <v>850</v>
      </c>
      <c r="H92" t="s">
        <v>765</v>
      </c>
    </row>
    <row r="93" spans="1:8" x14ac:dyDescent="0.25">
      <c r="A93" t="str">
        <f t="shared" si="6"/>
        <v>1India</v>
      </c>
      <c r="B93" t="s">
        <v>120</v>
      </c>
      <c r="C93" t="s">
        <v>143</v>
      </c>
      <c r="D93" t="str">
        <f t="shared" si="5"/>
        <v>IND-HR</v>
      </c>
      <c r="E93" t="str">
        <f t="shared" si="7"/>
        <v>IND-AN,IND-AP,IND-AR,IND-AS,IND-BR,IND-CH,IND-CT,IND-DD,IND-DL,IND-DN,IND-GA,IND-GJ,IND-HP,IND-HR</v>
      </c>
      <c r="G93" t="s">
        <v>851</v>
      </c>
      <c r="H93" t="s">
        <v>765</v>
      </c>
    </row>
    <row r="94" spans="1:8" x14ac:dyDescent="0.25">
      <c r="A94" t="str">
        <f t="shared" si="6"/>
        <v>1India</v>
      </c>
      <c r="B94" t="s">
        <v>120</v>
      </c>
      <c r="C94" t="s">
        <v>149</v>
      </c>
      <c r="D94" t="str">
        <f t="shared" si="5"/>
        <v>IND-JH</v>
      </c>
      <c r="E94" t="str">
        <f t="shared" si="7"/>
        <v>IND-AN,IND-AP,IND-AR,IND-AS,IND-BR,IND-CH,IND-CT,IND-DD,IND-DL,IND-DN,IND-GA,IND-GJ,IND-HP,IND-HR,IND-JH</v>
      </c>
      <c r="G94" t="s">
        <v>120</v>
      </c>
      <c r="H94" t="s">
        <v>852</v>
      </c>
    </row>
    <row r="95" spans="1:8" x14ac:dyDescent="0.25">
      <c r="A95" t="str">
        <f t="shared" si="6"/>
        <v>1India</v>
      </c>
      <c r="B95" t="s">
        <v>120</v>
      </c>
      <c r="C95" t="s">
        <v>147</v>
      </c>
      <c r="D95" t="str">
        <f t="shared" si="5"/>
        <v>IND-JK</v>
      </c>
      <c r="E95" t="str">
        <f t="shared" si="7"/>
        <v>IND-AN,IND-AP,IND-AR,IND-AS,IND-BR,IND-CH,IND-CT,IND-DD,IND-DL,IND-DN,IND-GA,IND-GJ,IND-HP,IND-HR,IND-JH,IND-JK</v>
      </c>
      <c r="G95" t="s">
        <v>853</v>
      </c>
      <c r="H95" t="s">
        <v>759</v>
      </c>
    </row>
    <row r="96" spans="1:8" x14ac:dyDescent="0.25">
      <c r="A96" t="str">
        <f t="shared" si="6"/>
        <v>1India</v>
      </c>
      <c r="B96" t="s">
        <v>120</v>
      </c>
      <c r="C96" t="s">
        <v>151</v>
      </c>
      <c r="D96" t="str">
        <f t="shared" si="5"/>
        <v>IND-KA</v>
      </c>
      <c r="E96" t="str">
        <f t="shared" si="7"/>
        <v>IND-AN,IND-AP,IND-AR,IND-AS,IND-BR,IND-CH,IND-CT,IND-DD,IND-DL,IND-DN,IND-GA,IND-GJ,IND-HP,IND-HR,IND-JH,IND-JK,IND-KA</v>
      </c>
      <c r="G96" t="s">
        <v>854</v>
      </c>
      <c r="H96" t="s">
        <v>777</v>
      </c>
    </row>
    <row r="97" spans="1:8" x14ac:dyDescent="0.25">
      <c r="A97" t="str">
        <f t="shared" si="6"/>
        <v>1India</v>
      </c>
      <c r="B97" t="s">
        <v>120</v>
      </c>
      <c r="C97" t="s">
        <v>153</v>
      </c>
      <c r="D97" t="str">
        <f t="shared" si="5"/>
        <v>IND-KL</v>
      </c>
      <c r="E97" t="str">
        <f t="shared" si="7"/>
        <v>IND-AN,IND-AP,IND-AR,IND-AS,IND-BR,IND-CH,IND-CT,IND-DD,IND-DL,IND-DN,IND-GA,IND-GJ,IND-HP,IND-HR,IND-JH,IND-JK,IND-KA,IND-KL</v>
      </c>
      <c r="G97" t="s">
        <v>855</v>
      </c>
      <c r="H97" t="s">
        <v>777</v>
      </c>
    </row>
    <row r="98" spans="1:8" x14ac:dyDescent="0.25">
      <c r="A98" t="str">
        <f t="shared" si="6"/>
        <v>1India</v>
      </c>
      <c r="B98" t="s">
        <v>120</v>
      </c>
      <c r="C98" t="s">
        <v>155</v>
      </c>
      <c r="D98" t="str">
        <f t="shared" si="5"/>
        <v>IND-LD</v>
      </c>
      <c r="E98" t="str">
        <f t="shared" si="7"/>
        <v>IND-AN,IND-AP,IND-AR,IND-AS,IND-BR,IND-CH,IND-CT,IND-DD,IND-DL,IND-DN,IND-GA,IND-GJ,IND-HP,IND-HR,IND-JH,IND-JK,IND-KA,IND-KL,IND-LD</v>
      </c>
      <c r="G98" t="s">
        <v>856</v>
      </c>
      <c r="H98" t="s">
        <v>765</v>
      </c>
    </row>
    <row r="99" spans="1:8" x14ac:dyDescent="0.25">
      <c r="A99" t="str">
        <f t="shared" si="6"/>
        <v>1India</v>
      </c>
      <c r="B99" t="s">
        <v>120</v>
      </c>
      <c r="C99" t="s">
        <v>162</v>
      </c>
      <c r="D99" t="str">
        <f t="shared" si="5"/>
        <v>IND-ML</v>
      </c>
      <c r="E99" t="str">
        <f t="shared" si="7"/>
        <v>IND-AN,IND-AP,IND-AR,IND-AS,IND-BR,IND-CH,IND-CT,IND-DD,IND-DL,IND-DN,IND-GA,IND-GJ,IND-HP,IND-HR,IND-JH,IND-JK,IND-KA,IND-KL,IND-LD,IND-ML</v>
      </c>
      <c r="G99" t="s">
        <v>857</v>
      </c>
      <c r="H99" t="s">
        <v>765</v>
      </c>
    </row>
    <row r="100" spans="1:8" x14ac:dyDescent="0.25">
      <c r="A100" t="str">
        <f t="shared" si="6"/>
        <v>1India</v>
      </c>
      <c r="B100" t="s">
        <v>120</v>
      </c>
      <c r="C100" t="s">
        <v>495</v>
      </c>
      <c r="D100" t="str">
        <f t="shared" si="5"/>
        <v>IND-MH</v>
      </c>
      <c r="E100" t="str">
        <f t="shared" si="7"/>
        <v>IND-AN,IND-AP,IND-AR,IND-AS,IND-BR,IND-CH,IND-CT,IND-DD,IND-DL,IND-DN,IND-GA,IND-GJ,IND-HP,IND-HR,IND-JH,IND-JK,IND-KA,IND-KL,IND-LD,IND-ML,IND-MH</v>
      </c>
      <c r="G100" t="s">
        <v>858</v>
      </c>
      <c r="H100" t="s">
        <v>765</v>
      </c>
    </row>
    <row r="101" spans="1:8" x14ac:dyDescent="0.25">
      <c r="A101" t="str">
        <f t="shared" si="6"/>
        <v>1India</v>
      </c>
      <c r="B101" t="s">
        <v>120</v>
      </c>
      <c r="C101" t="s">
        <v>160</v>
      </c>
      <c r="D101" t="str">
        <f t="shared" si="5"/>
        <v>IND-MN</v>
      </c>
      <c r="E101" t="str">
        <f t="shared" si="7"/>
        <v>IND-AN,IND-AP,IND-AR,IND-AS,IND-BR,IND-CH,IND-CT,IND-DD,IND-DL,IND-DN,IND-GA,IND-GJ,IND-HP,IND-HR,IND-JH,IND-JK,IND-KA,IND-KL,IND-LD,IND-ML,IND-MH,IND-MN</v>
      </c>
      <c r="G101" t="s">
        <v>859</v>
      </c>
      <c r="H101" t="s">
        <v>765</v>
      </c>
    </row>
    <row r="102" spans="1:8" x14ac:dyDescent="0.25">
      <c r="A102" t="str">
        <f t="shared" si="6"/>
        <v>1India</v>
      </c>
      <c r="B102" t="s">
        <v>120</v>
      </c>
      <c r="C102" t="s">
        <v>157</v>
      </c>
      <c r="D102" t="str">
        <f t="shared" si="5"/>
        <v>IND-MP</v>
      </c>
      <c r="E102" t="str">
        <f t="shared" si="7"/>
        <v>IND-AN,IND-AP,IND-AR,IND-AS,IND-BR,IND-CH,IND-CT,IND-DD,IND-DL,IND-DN,IND-GA,IND-GJ,IND-HP,IND-HR,IND-JH,IND-JK,IND-KA,IND-KL,IND-LD,IND-ML,IND-MH,IND-MN,IND-MP</v>
      </c>
      <c r="G102" t="s">
        <v>860</v>
      </c>
      <c r="H102" t="s">
        <v>768</v>
      </c>
    </row>
    <row r="103" spans="1:8" x14ac:dyDescent="0.25">
      <c r="A103" t="str">
        <f t="shared" si="6"/>
        <v>1India</v>
      </c>
      <c r="B103" t="s">
        <v>120</v>
      </c>
      <c r="C103" t="s">
        <v>164</v>
      </c>
      <c r="D103" t="str">
        <f t="shared" si="5"/>
        <v>IND-MZ</v>
      </c>
      <c r="E103" t="str">
        <f t="shared" si="7"/>
        <v>IND-AN,IND-AP,IND-AR,IND-AS,IND-BR,IND-CH,IND-CT,IND-DD,IND-DL,IND-DN,IND-GA,IND-GJ,IND-HP,IND-HR,IND-JH,IND-JK,IND-KA,IND-KL,IND-LD,IND-ML,IND-MH,IND-MN,IND-MP,IND-MZ</v>
      </c>
      <c r="G103" t="s">
        <v>861</v>
      </c>
      <c r="H103" t="s">
        <v>862</v>
      </c>
    </row>
    <row r="104" spans="1:8" x14ac:dyDescent="0.25">
      <c r="A104" t="str">
        <f t="shared" si="6"/>
        <v>1India</v>
      </c>
      <c r="B104" t="s">
        <v>120</v>
      </c>
      <c r="C104" t="s">
        <v>70</v>
      </c>
      <c r="D104" t="str">
        <f t="shared" si="5"/>
        <v>IND-NL</v>
      </c>
      <c r="E104" t="str">
        <f t="shared" si="7"/>
        <v>IND-AN,IND-AP,IND-AR,IND-AS,IND-BR,IND-CH,IND-CT,IND-DD,IND-DL,IND-DN,IND-GA,IND-GJ,IND-HP,IND-HR,IND-JH,IND-JK,IND-KA,IND-KL,IND-LD,IND-ML,IND-MH,IND-MN,IND-MP,IND-MZ,IND-NL</v>
      </c>
      <c r="G104" t="s">
        <v>863</v>
      </c>
      <c r="H104" t="s">
        <v>777</v>
      </c>
    </row>
    <row r="105" spans="1:8" x14ac:dyDescent="0.25">
      <c r="A105" t="str">
        <f t="shared" si="6"/>
        <v>1India</v>
      </c>
      <c r="B105" t="s">
        <v>120</v>
      </c>
      <c r="C105" t="s">
        <v>167</v>
      </c>
      <c r="D105" t="str">
        <f t="shared" si="5"/>
        <v>IND-OR</v>
      </c>
      <c r="E105" t="str">
        <f t="shared" si="7"/>
        <v>IND-AN,IND-AP,IND-AR,IND-AS,IND-BR,IND-CH,IND-CT,IND-DD,IND-DL,IND-DN,IND-GA,IND-GJ,IND-HP,IND-HR,IND-JH,IND-JK,IND-KA,IND-KL,IND-LD,IND-ML,IND-MH,IND-MN,IND-MP,IND-MZ,IND-NL,IND-OR</v>
      </c>
      <c r="G105" t="s">
        <v>864</v>
      </c>
      <c r="H105" t="s">
        <v>761</v>
      </c>
    </row>
    <row r="106" spans="1:8" x14ac:dyDescent="0.25">
      <c r="A106" t="str">
        <f t="shared" si="6"/>
        <v>1India</v>
      </c>
      <c r="B106" t="s">
        <v>120</v>
      </c>
      <c r="C106" t="s">
        <v>35</v>
      </c>
      <c r="D106" t="str">
        <f t="shared" si="5"/>
        <v>IND-PB</v>
      </c>
      <c r="E106" t="str">
        <f t="shared" si="7"/>
        <v>IND-AN,IND-AP,IND-AR,IND-AS,IND-BR,IND-CH,IND-CT,IND-DD,IND-DL,IND-DN,IND-GA,IND-GJ,IND-HP,IND-HR,IND-JH,IND-JK,IND-KA,IND-KL,IND-LD,IND-ML,IND-MH,IND-MN,IND-MP,IND-MZ,IND-NL,IND-OR,IND-PB</v>
      </c>
      <c r="G106" t="s">
        <v>865</v>
      </c>
      <c r="H106" t="s">
        <v>763</v>
      </c>
    </row>
    <row r="107" spans="1:8" x14ac:dyDescent="0.25">
      <c r="A107" t="str">
        <f t="shared" si="6"/>
        <v>1India</v>
      </c>
      <c r="B107" t="s">
        <v>120</v>
      </c>
      <c r="C107" t="s">
        <v>169</v>
      </c>
      <c r="D107" t="str">
        <f t="shared" si="5"/>
        <v>IND-PY</v>
      </c>
      <c r="E107" t="str">
        <f t="shared" si="7"/>
        <v>IND-AN,IND-AP,IND-AR,IND-AS,IND-BR,IND-CH,IND-CT,IND-DD,IND-DL,IND-DN,IND-GA,IND-GJ,IND-HP,IND-HR,IND-JH,IND-JK,IND-KA,IND-KL,IND-LD,IND-ML,IND-MH,IND-MN,IND-MP,IND-MZ,IND-NL,IND-OR,IND-PB,IND-PY</v>
      </c>
      <c r="G107" t="s">
        <v>866</v>
      </c>
      <c r="H107" t="s">
        <v>759</v>
      </c>
    </row>
    <row r="108" spans="1:8" x14ac:dyDescent="0.25">
      <c r="A108" t="str">
        <f t="shared" si="6"/>
        <v>1India</v>
      </c>
      <c r="B108" t="s">
        <v>120</v>
      </c>
      <c r="C108" t="s">
        <v>43</v>
      </c>
      <c r="D108" t="str">
        <f t="shared" si="5"/>
        <v>IND-RJ</v>
      </c>
      <c r="E108" t="str">
        <f t="shared" si="7"/>
        <v>IND-AN,IND-AP,IND-AR,IND-AS,IND-BR,IND-CH,IND-CT,IND-DD,IND-DL,IND-DN,IND-GA,IND-GJ,IND-HP,IND-HR,IND-JH,IND-JK,IND-KA,IND-KL,IND-LD,IND-ML,IND-MH,IND-MN,IND-MP,IND-MZ,IND-NL,IND-OR,IND-PB,IND-PY,IND-RJ</v>
      </c>
      <c r="G108" t="s">
        <v>867</v>
      </c>
      <c r="H108" t="s">
        <v>868</v>
      </c>
    </row>
    <row r="109" spans="1:8" x14ac:dyDescent="0.25">
      <c r="A109" t="str">
        <f t="shared" si="6"/>
        <v>1India</v>
      </c>
      <c r="B109" t="s">
        <v>120</v>
      </c>
      <c r="C109" t="s">
        <v>83</v>
      </c>
      <c r="D109" t="str">
        <f t="shared" si="5"/>
        <v>IND-SK</v>
      </c>
      <c r="E109" t="str">
        <f t="shared" si="7"/>
        <v>IND-AN,IND-AP,IND-AR,IND-AS,IND-BR,IND-CH,IND-CT,IND-DD,IND-DL,IND-DN,IND-GA,IND-GJ,IND-HP,IND-HR,IND-JH,IND-JK,IND-KA,IND-KL,IND-LD,IND-ML,IND-MH,IND-MN,IND-MP,IND-MZ,IND-NL,IND-OR,IND-PB,IND-PY,IND-RJ,IND-SK</v>
      </c>
      <c r="G109" t="s">
        <v>869</v>
      </c>
      <c r="H109" t="s">
        <v>761</v>
      </c>
    </row>
    <row r="110" spans="1:8" x14ac:dyDescent="0.25">
      <c r="A110" t="str">
        <f t="shared" si="6"/>
        <v>1India</v>
      </c>
      <c r="B110" t="s">
        <v>120</v>
      </c>
      <c r="C110" t="s">
        <v>491</v>
      </c>
      <c r="D110" t="str">
        <f t="shared" si="5"/>
        <v>IND-TG</v>
      </c>
      <c r="E110" t="str">
        <f t="shared" si="7"/>
        <v>IND-AN,IND-AP,IND-AR,IND-AS,IND-BR,IND-CH,IND-CT,IND-DD,IND-DL,IND-DN,IND-GA,IND-GJ,IND-HP,IND-HR,IND-JH,IND-JK,IND-KA,IND-KL,IND-LD,IND-ML,IND-MH,IND-MN,IND-MP,IND-MZ,IND-NL,IND-OR,IND-PB,IND-PY,IND-RJ,IND-SK,IND-TG</v>
      </c>
      <c r="G110" t="s">
        <v>870</v>
      </c>
      <c r="H110" t="s">
        <v>777</v>
      </c>
    </row>
    <row r="111" spans="1:8" x14ac:dyDescent="0.25">
      <c r="A111" t="str">
        <f t="shared" si="6"/>
        <v>1India</v>
      </c>
      <c r="B111" t="s">
        <v>120</v>
      </c>
      <c r="C111" t="s">
        <v>174</v>
      </c>
      <c r="D111" t="str">
        <f t="shared" si="5"/>
        <v>IND-TN</v>
      </c>
      <c r="E111" t="str">
        <f t="shared" si="7"/>
        <v>IND-AN,IND-AP,IND-AR,IND-AS,IND-BR,IND-CH,IND-CT,IND-DD,IND-DL,IND-DN,IND-GA,IND-GJ,IND-HP,IND-HR,IND-JH,IND-JK,IND-KA,IND-KL,IND-LD,IND-ML,IND-MH,IND-MN,IND-MP,IND-MZ,IND-NL,IND-OR,IND-PB,IND-PY,IND-RJ,IND-SK,IND-TG,IND-TN</v>
      </c>
      <c r="G111" t="s">
        <v>871</v>
      </c>
      <c r="H111" t="s">
        <v>761</v>
      </c>
    </row>
    <row r="112" spans="1:8" x14ac:dyDescent="0.25">
      <c r="A112" t="str">
        <f t="shared" si="6"/>
        <v>1India</v>
      </c>
      <c r="B112" t="s">
        <v>120</v>
      </c>
      <c r="C112" t="s">
        <v>176</v>
      </c>
      <c r="D112" t="str">
        <f t="shared" si="5"/>
        <v>IND-TR</v>
      </c>
      <c r="E112" t="str">
        <f t="shared" si="7"/>
        <v>IND-AN,IND-AP,IND-AR,IND-AS,IND-BR,IND-CH,IND-CT,IND-DD,IND-DL,IND-DN,IND-GA,IND-GJ,IND-HP,IND-HR,IND-JH,IND-JK,IND-KA,IND-KL,IND-LD,IND-ML,IND-MH,IND-MN,IND-MP,IND-MZ,IND-NL,IND-OR,IND-PB,IND-PY,IND-RJ,IND-SK,IND-TG,IND-TN,IND-TR</v>
      </c>
      <c r="G112" t="s">
        <v>872</v>
      </c>
      <c r="H112" t="s">
        <v>759</v>
      </c>
    </row>
    <row r="113" spans="1:8" x14ac:dyDescent="0.25">
      <c r="A113" t="str">
        <f t="shared" si="6"/>
        <v>1India</v>
      </c>
      <c r="B113" t="s">
        <v>120</v>
      </c>
      <c r="C113" t="s">
        <v>443</v>
      </c>
      <c r="D113" t="str">
        <f t="shared" si="5"/>
        <v>IND-UT</v>
      </c>
      <c r="E113" t="str">
        <f t="shared" si="7"/>
        <v>IND-AN,IND-AP,IND-AR,IND-AS,IND-BR,IND-CH,IND-CT,IND-DD,IND-DL,IND-DN,IND-GA,IND-GJ,IND-HP,IND-HR,IND-JH,IND-JK,IND-KA,IND-KL,IND-LD,IND-ML,IND-MH,IND-MN,IND-MP,IND-MZ,IND-NL,IND-OR,IND-PB,IND-PY,IND-RJ,IND-SK,IND-TG,IND-TN,IND-TR,IND-UT</v>
      </c>
      <c r="G113" t="s">
        <v>873</v>
      </c>
      <c r="H113" t="s">
        <v>761</v>
      </c>
    </row>
    <row r="114" spans="1:8" x14ac:dyDescent="0.25">
      <c r="A114" t="str">
        <f t="shared" si="6"/>
        <v>1India</v>
      </c>
      <c r="B114" t="s">
        <v>120</v>
      </c>
      <c r="C114" t="s">
        <v>178</v>
      </c>
      <c r="D114" t="str">
        <f t="shared" si="5"/>
        <v>IND-UP</v>
      </c>
      <c r="E114" t="str">
        <f t="shared" si="7"/>
        <v>IND-AN,IND-AP,IND-AR,IND-AS,IND-BR,IND-CH,IND-CT,IND-DD,IND-DL,IND-DN,IND-GA,IND-GJ,IND-HP,IND-HR,IND-JH,IND-JK,IND-KA,IND-KL,IND-LD,IND-ML,IND-MH,IND-MN,IND-MP,IND-MZ,IND-NL,IND-OR,IND-PB,IND-PY,IND-RJ,IND-SK,IND-TG,IND-TN,IND-TR,IND-UT,IND-UP</v>
      </c>
      <c r="G114" t="s">
        <v>874</v>
      </c>
      <c r="H114" t="s">
        <v>777</v>
      </c>
    </row>
    <row r="115" spans="1:8" x14ac:dyDescent="0.25">
      <c r="A115" t="str">
        <f t="shared" si="6"/>
        <v>0India</v>
      </c>
      <c r="B115" t="s">
        <v>120</v>
      </c>
      <c r="C115" t="s">
        <v>181</v>
      </c>
      <c r="D115" t="str">
        <f t="shared" si="5"/>
        <v>IND-WB</v>
      </c>
      <c r="E115" t="str">
        <f t="shared" si="7"/>
        <v>IND-AN,IND-AP,IND-AR,IND-AS,IND-BR,IND-CH,IND-CT,IND-DD,IND-DL,IND-DN,IND-GA,IND-GJ,IND-HP,IND-HR,IND-JH,IND-JK,IND-KA,IND-KL,IND-LD,IND-ML,IND-MH,IND-MN,IND-MP,IND-MZ,IND-NL,IND-OR,IND-PB,IND-PY,IND-RJ,IND-SK,IND-TG,IND-TN,IND-TR,IND-UT,IND-UP,IND-WB</v>
      </c>
      <c r="G115" t="s">
        <v>875</v>
      </c>
      <c r="H115" t="s">
        <v>763</v>
      </c>
    </row>
    <row r="116" spans="1:8" x14ac:dyDescent="0.25">
      <c r="A116" t="str">
        <f t="shared" si="6"/>
        <v>1Russia</v>
      </c>
      <c r="B116" t="s">
        <v>459</v>
      </c>
      <c r="C116" t="s">
        <v>183</v>
      </c>
      <c r="D116" t="str">
        <f t="shared" si="5"/>
        <v>RUS-AD</v>
      </c>
      <c r="E116" t="str">
        <f t="shared" si="7"/>
        <v>RUS-AD</v>
      </c>
      <c r="G116" t="s">
        <v>876</v>
      </c>
      <c r="H116" t="s">
        <v>763</v>
      </c>
    </row>
    <row r="117" spans="1:8" x14ac:dyDescent="0.25">
      <c r="A117" t="str">
        <f t="shared" si="6"/>
        <v>1Russia</v>
      </c>
      <c r="B117" t="s">
        <v>459</v>
      </c>
      <c r="C117" t="s">
        <v>185</v>
      </c>
      <c r="D117" t="str">
        <f t="shared" si="5"/>
        <v>RUS-AGB</v>
      </c>
      <c r="E117" t="str">
        <f t="shared" si="7"/>
        <v>RUS-AD,RUS-AGB</v>
      </c>
      <c r="G117" t="s">
        <v>877</v>
      </c>
      <c r="H117" t="s">
        <v>763</v>
      </c>
    </row>
    <row r="118" spans="1:8" x14ac:dyDescent="0.25">
      <c r="A118" t="str">
        <f t="shared" si="6"/>
        <v>1Russia</v>
      </c>
      <c r="B118" t="s">
        <v>459</v>
      </c>
      <c r="C118" t="s">
        <v>7</v>
      </c>
      <c r="D118" t="str">
        <f t="shared" si="5"/>
        <v>RUS-AL</v>
      </c>
      <c r="E118" t="str">
        <f t="shared" si="7"/>
        <v>RUS-AD,RUS-AGB,RUS-AL</v>
      </c>
      <c r="G118" t="s">
        <v>878</v>
      </c>
      <c r="H118" t="s">
        <v>761</v>
      </c>
    </row>
    <row r="119" spans="1:8" x14ac:dyDescent="0.25">
      <c r="A119" t="str">
        <f t="shared" si="6"/>
        <v>1Russia</v>
      </c>
      <c r="B119" t="s">
        <v>459</v>
      </c>
      <c r="C119" t="s">
        <v>188</v>
      </c>
      <c r="D119" t="str">
        <f t="shared" si="5"/>
        <v>RUS-ALT</v>
      </c>
      <c r="E119" t="str">
        <f t="shared" si="7"/>
        <v>RUS-AD,RUS-AGB,RUS-AL,RUS-ALT</v>
      </c>
      <c r="G119" t="s">
        <v>879</v>
      </c>
      <c r="H119" t="s">
        <v>761</v>
      </c>
    </row>
    <row r="120" spans="1:8" x14ac:dyDescent="0.25">
      <c r="A120" t="str">
        <f t="shared" si="6"/>
        <v>1Russia</v>
      </c>
      <c r="B120" t="s">
        <v>459</v>
      </c>
      <c r="C120" t="s">
        <v>190</v>
      </c>
      <c r="D120" t="str">
        <f t="shared" si="5"/>
        <v>RUS-AMU</v>
      </c>
      <c r="E120" t="str">
        <f t="shared" si="7"/>
        <v>RUS-AD,RUS-AGB,RUS-AL,RUS-ALT,RUS-AMU</v>
      </c>
      <c r="G120" t="s">
        <v>880</v>
      </c>
      <c r="H120" t="s">
        <v>765</v>
      </c>
    </row>
    <row r="121" spans="1:8" x14ac:dyDescent="0.25">
      <c r="A121" t="str">
        <f t="shared" si="6"/>
        <v>1Russia</v>
      </c>
      <c r="B121" t="s">
        <v>459</v>
      </c>
      <c r="C121" t="s">
        <v>192</v>
      </c>
      <c r="D121" t="str">
        <f t="shared" si="5"/>
        <v>RUS-ARK</v>
      </c>
      <c r="E121" t="str">
        <f t="shared" si="7"/>
        <v>RUS-AD,RUS-AGB,RUS-AL,RUS-ALT,RUS-AMU,RUS-ARK</v>
      </c>
      <c r="G121" t="s">
        <v>881</v>
      </c>
      <c r="H121" t="s">
        <v>759</v>
      </c>
    </row>
    <row r="122" spans="1:8" x14ac:dyDescent="0.25">
      <c r="A122" t="str">
        <f t="shared" si="6"/>
        <v>1Russia</v>
      </c>
      <c r="B122" t="s">
        <v>459</v>
      </c>
      <c r="C122" t="s">
        <v>194</v>
      </c>
      <c r="D122" t="str">
        <f t="shared" si="5"/>
        <v>RUS-AST</v>
      </c>
      <c r="E122" t="str">
        <f t="shared" si="7"/>
        <v>RUS-AD,RUS-AGB,RUS-AL,RUS-ALT,RUS-AMU,RUS-ARK,RUS-AST</v>
      </c>
      <c r="G122" t="s">
        <v>882</v>
      </c>
      <c r="H122" t="s">
        <v>761</v>
      </c>
    </row>
    <row r="123" spans="1:8" x14ac:dyDescent="0.25">
      <c r="A123" t="str">
        <f t="shared" si="6"/>
        <v>1Russia</v>
      </c>
      <c r="B123" t="s">
        <v>459</v>
      </c>
      <c r="C123" t="s">
        <v>13</v>
      </c>
      <c r="D123" t="str">
        <f t="shared" si="5"/>
        <v>RUS-BA</v>
      </c>
      <c r="E123" t="str">
        <f t="shared" si="7"/>
        <v>RUS-AD,RUS-AGB,RUS-AL,RUS-ALT,RUS-AMU,RUS-ARK,RUS-AST,RUS-BA</v>
      </c>
      <c r="G123" t="s">
        <v>883</v>
      </c>
      <c r="H123" t="s">
        <v>763</v>
      </c>
    </row>
    <row r="124" spans="1:8" x14ac:dyDescent="0.25">
      <c r="A124" t="str">
        <f t="shared" si="6"/>
        <v>1Russia</v>
      </c>
      <c r="B124" t="s">
        <v>459</v>
      </c>
      <c r="C124" t="s">
        <v>197</v>
      </c>
      <c r="D124" t="str">
        <f t="shared" si="5"/>
        <v>RUS-BEL</v>
      </c>
      <c r="E124" t="str">
        <f t="shared" si="7"/>
        <v>RUS-AD,RUS-AGB,RUS-AL,RUS-ALT,RUS-AMU,RUS-ARK,RUS-AST,RUS-BA,RUS-BEL</v>
      </c>
      <c r="G124" t="s">
        <v>884</v>
      </c>
      <c r="H124" t="s">
        <v>763</v>
      </c>
    </row>
    <row r="125" spans="1:8" x14ac:dyDescent="0.25">
      <c r="A125" t="str">
        <f t="shared" si="6"/>
        <v>1Russia</v>
      </c>
      <c r="B125" t="s">
        <v>459</v>
      </c>
      <c r="C125" t="s">
        <v>199</v>
      </c>
      <c r="D125" t="str">
        <f t="shared" si="5"/>
        <v>RUS-BRY</v>
      </c>
      <c r="E125" t="str">
        <f t="shared" si="7"/>
        <v>RUS-AD,RUS-AGB,RUS-AL,RUS-ALT,RUS-AMU,RUS-ARK,RUS-AST,RUS-BA,RUS-BEL,RUS-BRY</v>
      </c>
      <c r="G125" t="s">
        <v>885</v>
      </c>
      <c r="H125" t="s">
        <v>759</v>
      </c>
    </row>
    <row r="126" spans="1:8" x14ac:dyDescent="0.25">
      <c r="A126" t="str">
        <f t="shared" si="6"/>
        <v>1Russia</v>
      </c>
      <c r="B126" t="s">
        <v>459</v>
      </c>
      <c r="C126" t="s">
        <v>201</v>
      </c>
      <c r="D126" t="str">
        <f t="shared" si="5"/>
        <v>RUS-BU</v>
      </c>
      <c r="E126" t="str">
        <f t="shared" si="7"/>
        <v>RUS-AD,RUS-AGB,RUS-AL,RUS-ALT,RUS-AMU,RUS-ARK,RUS-AST,RUS-BA,RUS-BEL,RUS-BRY,RUS-BU</v>
      </c>
      <c r="G126" t="s">
        <v>886</v>
      </c>
      <c r="H126" t="s">
        <v>759</v>
      </c>
    </row>
    <row r="127" spans="1:8" x14ac:dyDescent="0.25">
      <c r="A127" t="str">
        <f t="shared" si="6"/>
        <v>1Russia</v>
      </c>
      <c r="B127" t="s">
        <v>459</v>
      </c>
      <c r="C127" t="s">
        <v>15</v>
      </c>
      <c r="D127" t="str">
        <f t="shared" si="5"/>
        <v>RUS-CE</v>
      </c>
      <c r="E127" t="str">
        <f t="shared" si="7"/>
        <v>RUS-AD,RUS-AGB,RUS-AL,RUS-ALT,RUS-AMU,RUS-ARK,RUS-AST,RUS-BA,RUS-BEL,RUS-BRY,RUS-BU,RUS-CE</v>
      </c>
      <c r="G127" t="s">
        <v>887</v>
      </c>
      <c r="H127" t="s">
        <v>763</v>
      </c>
    </row>
    <row r="128" spans="1:8" x14ac:dyDescent="0.25">
      <c r="A128" t="str">
        <f t="shared" si="6"/>
        <v>1Russia</v>
      </c>
      <c r="B128" t="s">
        <v>459</v>
      </c>
      <c r="C128" t="s">
        <v>204</v>
      </c>
      <c r="D128" t="str">
        <f t="shared" si="5"/>
        <v>RUS-CHE</v>
      </c>
      <c r="E128" t="str">
        <f t="shared" si="7"/>
        <v>RUS-AD,RUS-AGB,RUS-AL,RUS-ALT,RUS-AMU,RUS-ARK,RUS-AST,RUS-BA,RUS-BEL,RUS-BRY,RUS-BU,RUS-CE,RUS-CHE</v>
      </c>
      <c r="G128" t="s">
        <v>888</v>
      </c>
      <c r="H128" t="s">
        <v>761</v>
      </c>
    </row>
    <row r="129" spans="1:8" x14ac:dyDescent="0.25">
      <c r="A129" t="str">
        <f t="shared" si="6"/>
        <v>1Russia</v>
      </c>
      <c r="B129" t="s">
        <v>459</v>
      </c>
      <c r="C129" t="s">
        <v>206</v>
      </c>
      <c r="D129" t="str">
        <f t="shared" si="5"/>
        <v>RUS-CHI</v>
      </c>
      <c r="E129" t="str">
        <f t="shared" si="7"/>
        <v>RUS-AD,RUS-AGB,RUS-AL,RUS-ALT,RUS-AMU,RUS-ARK,RUS-AST,RUS-BA,RUS-BEL,RUS-BRY,RUS-BU,RUS-CE,RUS-CHE,RUS-CHI</v>
      </c>
      <c r="G129" t="s">
        <v>889</v>
      </c>
      <c r="H129" t="s">
        <v>759</v>
      </c>
    </row>
    <row r="130" spans="1:8" x14ac:dyDescent="0.25">
      <c r="A130" t="str">
        <f t="shared" si="6"/>
        <v>1Russia</v>
      </c>
      <c r="B130" t="s">
        <v>459</v>
      </c>
      <c r="C130" t="s">
        <v>208</v>
      </c>
      <c r="D130" t="str">
        <f t="shared" si="5"/>
        <v>RUS-CHU</v>
      </c>
      <c r="E130" t="str">
        <f t="shared" si="7"/>
        <v>RUS-AD,RUS-AGB,RUS-AL,RUS-ALT,RUS-AMU,RUS-ARK,RUS-AST,RUS-BA,RUS-BEL,RUS-BRY,RUS-BU,RUS-CE,RUS-CHE,RUS-CHI,RUS-CHU</v>
      </c>
      <c r="G130" t="s">
        <v>890</v>
      </c>
      <c r="H130" t="s">
        <v>763</v>
      </c>
    </row>
    <row r="131" spans="1:8" x14ac:dyDescent="0.25">
      <c r="A131" t="str">
        <f t="shared" si="6"/>
        <v>1Russia</v>
      </c>
      <c r="B131" t="s">
        <v>459</v>
      </c>
      <c r="C131" t="s">
        <v>210</v>
      </c>
      <c r="D131" t="str">
        <f t="shared" si="5"/>
        <v>RUS-CU</v>
      </c>
      <c r="E131" t="str">
        <f t="shared" si="7"/>
        <v>RUS-AD,RUS-AGB,RUS-AL,RUS-ALT,RUS-AMU,RUS-ARK,RUS-AST,RUS-BA,RUS-BEL,RUS-BRY,RUS-BU,RUS-CE,RUS-CHE,RUS-CHI,RUS-CHU,RUS-CU</v>
      </c>
      <c r="G131" t="s">
        <v>891</v>
      </c>
      <c r="H131" t="s">
        <v>763</v>
      </c>
    </row>
    <row r="132" spans="1:8" x14ac:dyDescent="0.25">
      <c r="A132" t="str">
        <f t="shared" si="6"/>
        <v>1Russia</v>
      </c>
      <c r="B132" t="s">
        <v>459</v>
      </c>
      <c r="C132" t="s">
        <v>212</v>
      </c>
      <c r="D132" t="str">
        <f t="shared" si="5"/>
        <v>RUS-DA</v>
      </c>
      <c r="E132" t="str">
        <f t="shared" si="7"/>
        <v>RUS-AD,RUS-AGB,RUS-AL,RUS-ALT,RUS-AMU,RUS-ARK,RUS-AST,RUS-BA,RUS-BEL,RUS-BRY,RUS-BU,RUS-CE,RUS-CHE,RUS-CHI,RUS-CHU,RUS-CU,RUS-DA</v>
      </c>
      <c r="G132" t="s">
        <v>892</v>
      </c>
      <c r="H132" t="s">
        <v>790</v>
      </c>
    </row>
    <row r="133" spans="1:8" x14ac:dyDescent="0.25">
      <c r="A133" t="str">
        <f t="shared" si="6"/>
        <v>1Russia</v>
      </c>
      <c r="B133" t="s">
        <v>459</v>
      </c>
      <c r="C133" t="s">
        <v>214</v>
      </c>
      <c r="D133" t="str">
        <f t="shared" ref="D133:D196" si="8">VLOOKUP(B133,$G$5:$H$234,2,FALSE)&amp;"-"&amp;C133</f>
        <v>RUS-EVE</v>
      </c>
      <c r="E133" t="str">
        <f t="shared" si="7"/>
        <v>RUS-AD,RUS-AGB,RUS-AL,RUS-ALT,RUS-AMU,RUS-ARK,RUS-AST,RUS-BA,RUS-BEL,RUS-BRY,RUS-BU,RUS-CE,RUS-CHE,RUS-CHI,RUS-CHU,RUS-CU,RUS-DA,RUS-EVE</v>
      </c>
      <c r="G133" t="s">
        <v>893</v>
      </c>
      <c r="H133" t="s">
        <v>804</v>
      </c>
    </row>
    <row r="134" spans="1:8" x14ac:dyDescent="0.25">
      <c r="A134" t="str">
        <f t="shared" ref="A134:A197" si="9">IF(B134=B135,1,0)&amp;B134</f>
        <v>1Russia</v>
      </c>
      <c r="B134" t="s">
        <v>459</v>
      </c>
      <c r="C134" t="s">
        <v>216</v>
      </c>
      <c r="D134" t="str">
        <f t="shared" si="8"/>
        <v>RUS-IN</v>
      </c>
      <c r="E134" t="str">
        <f t="shared" ref="E134:E197" si="10">IF(B134=B133,E133&amp;","&amp;D134,D134)</f>
        <v>RUS-AD,RUS-AGB,RUS-AL,RUS-ALT,RUS-AMU,RUS-ARK,RUS-AST,RUS-BA,RUS-BEL,RUS-BRY,RUS-BU,RUS-CE,RUS-CHE,RUS-CHI,RUS-CHU,RUS-CU,RUS-DA,RUS-EVE,RUS-IN</v>
      </c>
      <c r="G134" t="s">
        <v>894</v>
      </c>
      <c r="H134" t="s">
        <v>761</v>
      </c>
    </row>
    <row r="135" spans="1:8" x14ac:dyDescent="0.25">
      <c r="A135" t="str">
        <f t="shared" si="9"/>
        <v>1Russia</v>
      </c>
      <c r="B135" t="s">
        <v>459</v>
      </c>
      <c r="C135" t="s">
        <v>218</v>
      </c>
      <c r="D135" t="str">
        <f t="shared" si="8"/>
        <v>RUS-IRK</v>
      </c>
      <c r="E135" t="str">
        <f t="shared" si="10"/>
        <v>RUS-AD,RUS-AGB,RUS-AL,RUS-ALT,RUS-AMU,RUS-ARK,RUS-AST,RUS-BA,RUS-BEL,RUS-BRY,RUS-BU,RUS-CE,RUS-CHE,RUS-CHI,RUS-CHU,RUS-CU,RUS-DA,RUS-EVE,RUS-IN,RUS-IRK</v>
      </c>
      <c r="G135" t="s">
        <v>895</v>
      </c>
      <c r="H135" t="s">
        <v>765</v>
      </c>
    </row>
    <row r="136" spans="1:8" x14ac:dyDescent="0.25">
      <c r="A136" t="str">
        <f t="shared" si="9"/>
        <v>1Russia</v>
      </c>
      <c r="B136" t="s">
        <v>459</v>
      </c>
      <c r="C136" t="s">
        <v>220</v>
      </c>
      <c r="D136" t="str">
        <f t="shared" si="8"/>
        <v>RUS-IVA</v>
      </c>
      <c r="E136" t="str">
        <f t="shared" si="10"/>
        <v>RUS-AD,RUS-AGB,RUS-AL,RUS-ALT,RUS-AMU,RUS-ARK,RUS-AST,RUS-BA,RUS-BEL,RUS-BRY,RUS-BU,RUS-CE,RUS-CHE,RUS-CHI,RUS-CHU,RUS-CU,RUS-DA,RUS-EVE,RUS-IN,RUS-IRK,RUS-IVA</v>
      </c>
      <c r="G136" t="s">
        <v>896</v>
      </c>
      <c r="H136" t="s">
        <v>759</v>
      </c>
    </row>
    <row r="137" spans="1:8" x14ac:dyDescent="0.25">
      <c r="A137" t="str">
        <f t="shared" si="9"/>
        <v>1Russia</v>
      </c>
      <c r="B137" t="s">
        <v>459</v>
      </c>
      <c r="C137" t="s">
        <v>229</v>
      </c>
      <c r="D137" t="str">
        <f t="shared" si="8"/>
        <v>RUS-KAM</v>
      </c>
      <c r="E137" t="str">
        <f t="shared" si="10"/>
        <v>RUS-AD,RUS-AGB,RUS-AL,RUS-ALT,RUS-AMU,RUS-ARK,RUS-AST,RUS-BA,RUS-BEL,RUS-BRY,RUS-BU,RUS-CE,RUS-CHE,RUS-CHI,RUS-CHU,RUS-CU,RUS-DA,RUS-EVE,RUS-IN,RUS-IRK,RUS-IVA,RUS-KAM</v>
      </c>
      <c r="G137" t="s">
        <v>897</v>
      </c>
      <c r="H137" t="s">
        <v>761</v>
      </c>
    </row>
    <row r="138" spans="1:8" x14ac:dyDescent="0.25">
      <c r="A138" t="str">
        <f t="shared" si="9"/>
        <v>1Russia</v>
      </c>
      <c r="B138" t="s">
        <v>459</v>
      </c>
      <c r="C138" t="s">
        <v>222</v>
      </c>
      <c r="D138" t="str">
        <f t="shared" si="8"/>
        <v>RUS-KB</v>
      </c>
      <c r="E138" t="str">
        <f t="shared" si="10"/>
        <v>RUS-AD,RUS-AGB,RUS-AL,RUS-ALT,RUS-AMU,RUS-ARK,RUS-AST,RUS-BA,RUS-BEL,RUS-BRY,RUS-BU,RUS-CE,RUS-CHE,RUS-CHI,RUS-CHU,RUS-CU,RUS-DA,RUS-EVE,RUS-IN,RUS-IRK,RUS-IVA,RUS-KAM,RUS-KB</v>
      </c>
      <c r="G138" t="s">
        <v>898</v>
      </c>
      <c r="H138" t="s">
        <v>768</v>
      </c>
    </row>
    <row r="139" spans="1:8" x14ac:dyDescent="0.25">
      <c r="A139" t="str">
        <f t="shared" si="9"/>
        <v>1Russia</v>
      </c>
      <c r="B139" t="s">
        <v>459</v>
      </c>
      <c r="C139" t="s">
        <v>231</v>
      </c>
      <c r="D139" t="str">
        <f t="shared" si="8"/>
        <v>RUS-KC</v>
      </c>
      <c r="E139" t="str">
        <f t="shared" si="10"/>
        <v>RUS-AD,RUS-AGB,RUS-AL,RUS-ALT,RUS-AMU,RUS-ARK,RUS-AST,RUS-BA,RUS-BEL,RUS-BRY,RUS-BU,RUS-CE,RUS-CHE,RUS-CHI,RUS-CHU,RUS-CU,RUS-DA,RUS-EVE,RUS-IN,RUS-IRK,RUS-IVA,RUS-KAM,RUS-KB,RUS-KC</v>
      </c>
      <c r="G139" t="s">
        <v>899</v>
      </c>
      <c r="H139" t="s">
        <v>763</v>
      </c>
    </row>
    <row r="140" spans="1:8" x14ac:dyDescent="0.25">
      <c r="A140" t="str">
        <f t="shared" si="9"/>
        <v>1Russia</v>
      </c>
      <c r="B140" t="s">
        <v>459</v>
      </c>
      <c r="C140" t="s">
        <v>253</v>
      </c>
      <c r="D140" t="str">
        <f t="shared" si="8"/>
        <v>RUS-KDA</v>
      </c>
      <c r="E140" t="str">
        <f t="shared" si="10"/>
        <v>RUS-AD,RUS-AGB,RUS-AL,RUS-ALT,RUS-AMU,RUS-ARK,RUS-AST,RUS-BA,RUS-BEL,RUS-BRY,RUS-BU,RUS-CE,RUS-CHE,RUS-CHI,RUS-CHU,RUS-CU,RUS-DA,RUS-EVE,RUS-IN,RUS-IRK,RUS-IVA,RUS-KAM,RUS-KB,RUS-KC,RUS-KDA</v>
      </c>
      <c r="G140" t="s">
        <v>900</v>
      </c>
      <c r="H140" t="s">
        <v>763</v>
      </c>
    </row>
    <row r="141" spans="1:8" x14ac:dyDescent="0.25">
      <c r="A141" t="str">
        <f t="shared" si="9"/>
        <v>1Russia</v>
      </c>
      <c r="B141" t="s">
        <v>459</v>
      </c>
      <c r="C141" t="s">
        <v>235</v>
      </c>
      <c r="D141" t="str">
        <f t="shared" si="8"/>
        <v>RUS-KEM</v>
      </c>
      <c r="E141" t="str">
        <f t="shared" si="10"/>
        <v>RUS-AD,RUS-AGB,RUS-AL,RUS-ALT,RUS-AMU,RUS-ARK,RUS-AST,RUS-BA,RUS-BEL,RUS-BRY,RUS-BU,RUS-CE,RUS-CHE,RUS-CHI,RUS-CHU,RUS-CU,RUS-DA,RUS-EVE,RUS-IN,RUS-IRK,RUS-IVA,RUS-KAM,RUS-KB,RUS-KC,RUS-KDA,RUS-KEM</v>
      </c>
      <c r="G141" t="s">
        <v>901</v>
      </c>
      <c r="H141" t="s">
        <v>759</v>
      </c>
    </row>
    <row r="142" spans="1:8" x14ac:dyDescent="0.25">
      <c r="A142" t="str">
        <f t="shared" si="9"/>
        <v>1Russia</v>
      </c>
      <c r="B142" t="s">
        <v>459</v>
      </c>
      <c r="C142" t="s">
        <v>224</v>
      </c>
      <c r="D142" t="str">
        <f t="shared" si="8"/>
        <v>RUS-KGD</v>
      </c>
      <c r="E142" t="str">
        <f t="shared" si="10"/>
        <v>RUS-AD,RUS-AGB,RUS-AL,RUS-ALT,RUS-AMU,RUS-ARK,RUS-AST,RUS-BA,RUS-BEL,RUS-BRY,RUS-BU,RUS-CE,RUS-CHE,RUS-CHI,RUS-CHU,RUS-CU,RUS-DA,RUS-EVE,RUS-IN,RUS-IRK,RUS-IVA,RUS-KAM,RUS-KB,RUS-KC,RUS-KDA,RUS-KEM,RUS-KGD</v>
      </c>
      <c r="G142" t="s">
        <v>902</v>
      </c>
      <c r="H142" t="s">
        <v>763</v>
      </c>
    </row>
    <row r="143" spans="1:8" x14ac:dyDescent="0.25">
      <c r="A143" t="str">
        <f t="shared" si="9"/>
        <v>1Russia</v>
      </c>
      <c r="B143" t="s">
        <v>459</v>
      </c>
      <c r="C143" t="s">
        <v>257</v>
      </c>
      <c r="D143" t="str">
        <f t="shared" si="8"/>
        <v>RUS-KGN</v>
      </c>
      <c r="E143" t="str">
        <f t="shared" si="10"/>
        <v>RUS-AD,RUS-AGB,RUS-AL,RUS-ALT,RUS-AMU,RUS-ARK,RUS-AST,RUS-BA,RUS-BEL,RUS-BRY,RUS-BU,RUS-CE,RUS-CHE,RUS-CHI,RUS-CHU,RUS-CU,RUS-DA,RUS-EVE,RUS-IN,RUS-IRK,RUS-IVA,RUS-KAM,RUS-KB,RUS-KC,RUS-KDA,RUS-KEM,RUS-KGD,RUS-KGN</v>
      </c>
      <c r="G143" t="s">
        <v>903</v>
      </c>
      <c r="H143" t="s">
        <v>759</v>
      </c>
    </row>
    <row r="144" spans="1:8" x14ac:dyDescent="0.25">
      <c r="A144" t="str">
        <f t="shared" si="9"/>
        <v>1Russia</v>
      </c>
      <c r="B144" t="s">
        <v>459</v>
      </c>
      <c r="C144" t="s">
        <v>237</v>
      </c>
      <c r="D144" t="str">
        <f t="shared" si="8"/>
        <v>RUS-KHA</v>
      </c>
      <c r="E144" t="str">
        <f t="shared" si="10"/>
        <v>RUS-AD,RUS-AGB,RUS-AL,RUS-ALT,RUS-AMU,RUS-ARK,RUS-AST,RUS-BA,RUS-BEL,RUS-BRY,RUS-BU,RUS-CE,RUS-CHE,RUS-CHI,RUS-CHU,RUS-CU,RUS-DA,RUS-EVE,RUS-IN,RUS-IRK,RUS-IVA,RUS-KAM,RUS-KB,RUS-KC,RUS-KDA,RUS-KEM,RUS-KGD,RUS-KGN,RUS-KHA</v>
      </c>
      <c r="G144" t="s">
        <v>904</v>
      </c>
      <c r="H144" t="s">
        <v>759</v>
      </c>
    </row>
    <row r="145" spans="1:8" x14ac:dyDescent="0.25">
      <c r="A145" t="str">
        <f t="shared" si="9"/>
        <v>1Russia</v>
      </c>
      <c r="B145" t="s">
        <v>459</v>
      </c>
      <c r="C145" t="s">
        <v>241</v>
      </c>
      <c r="D145" t="str">
        <f t="shared" si="8"/>
        <v>RUS-KHM</v>
      </c>
      <c r="E145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</v>
      </c>
      <c r="G145" t="s">
        <v>905</v>
      </c>
      <c r="H145" t="s">
        <v>765</v>
      </c>
    </row>
    <row r="146" spans="1:8" x14ac:dyDescent="0.25">
      <c r="A146" t="str">
        <f t="shared" si="9"/>
        <v>1Russia</v>
      </c>
      <c r="B146" t="s">
        <v>459</v>
      </c>
      <c r="C146" t="s">
        <v>243</v>
      </c>
      <c r="D146" t="str">
        <f t="shared" si="8"/>
        <v>RUS-KIR</v>
      </c>
      <c r="E146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</v>
      </c>
      <c r="G146" t="s">
        <v>906</v>
      </c>
      <c r="H146" t="s">
        <v>768</v>
      </c>
    </row>
    <row r="147" spans="1:8" x14ac:dyDescent="0.25">
      <c r="A147" t="str">
        <f t="shared" si="9"/>
        <v>1Russia</v>
      </c>
      <c r="B147" t="s">
        <v>459</v>
      </c>
      <c r="C147" t="s">
        <v>239</v>
      </c>
      <c r="D147" t="str">
        <f t="shared" si="8"/>
        <v>RUS-KK</v>
      </c>
      <c r="E147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</v>
      </c>
      <c r="G147" t="s">
        <v>907</v>
      </c>
      <c r="H147" t="s">
        <v>759</v>
      </c>
    </row>
    <row r="148" spans="1:8" x14ac:dyDescent="0.25">
      <c r="A148" t="str">
        <f t="shared" si="9"/>
        <v>1Russia</v>
      </c>
      <c r="B148" t="s">
        <v>459</v>
      </c>
      <c r="C148" t="s">
        <v>153</v>
      </c>
      <c r="D148" t="str">
        <f t="shared" si="8"/>
        <v>RUS-KL</v>
      </c>
      <c r="E148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</v>
      </c>
      <c r="G148" t="s">
        <v>908</v>
      </c>
      <c r="H148" t="s">
        <v>773</v>
      </c>
    </row>
    <row r="149" spans="1:8" x14ac:dyDescent="0.25">
      <c r="A149" t="str">
        <f t="shared" si="9"/>
        <v>1Russia</v>
      </c>
      <c r="B149" t="s">
        <v>459</v>
      </c>
      <c r="C149" t="s">
        <v>227</v>
      </c>
      <c r="D149" t="str">
        <f t="shared" si="8"/>
        <v>RUS-KLU</v>
      </c>
      <c r="E149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</v>
      </c>
      <c r="G149" t="s">
        <v>909</v>
      </c>
      <c r="H149" t="s">
        <v>768</v>
      </c>
    </row>
    <row r="150" spans="1:8" x14ac:dyDescent="0.25">
      <c r="A150" t="str">
        <f t="shared" si="9"/>
        <v>1Russia</v>
      </c>
      <c r="B150" t="s">
        <v>459</v>
      </c>
      <c r="C150" t="s">
        <v>245</v>
      </c>
      <c r="D150" t="str">
        <f t="shared" si="8"/>
        <v>RUS-KO</v>
      </c>
      <c r="E150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</v>
      </c>
      <c r="G150" t="s">
        <v>910</v>
      </c>
      <c r="H150" t="s">
        <v>763</v>
      </c>
    </row>
    <row r="151" spans="1:8" x14ac:dyDescent="0.25">
      <c r="A151" t="str">
        <f t="shared" si="9"/>
        <v>1Russia</v>
      </c>
      <c r="B151" t="s">
        <v>459</v>
      </c>
      <c r="C151" t="s">
        <v>247</v>
      </c>
      <c r="D151" t="str">
        <f t="shared" si="8"/>
        <v>RUS-KOP</v>
      </c>
      <c r="E151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</v>
      </c>
      <c r="G151" t="s">
        <v>911</v>
      </c>
      <c r="H151" t="s">
        <v>763</v>
      </c>
    </row>
    <row r="152" spans="1:8" x14ac:dyDescent="0.25">
      <c r="A152" t="str">
        <f t="shared" si="9"/>
        <v>1Russia</v>
      </c>
      <c r="B152" t="s">
        <v>459</v>
      </c>
      <c r="C152" t="s">
        <v>249</v>
      </c>
      <c r="D152" t="str">
        <f t="shared" si="8"/>
        <v>RUS-KOR</v>
      </c>
      <c r="E152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</v>
      </c>
      <c r="G152" t="s">
        <v>912</v>
      </c>
      <c r="H152" t="s">
        <v>759</v>
      </c>
    </row>
    <row r="153" spans="1:8" x14ac:dyDescent="0.25">
      <c r="A153" t="str">
        <f t="shared" si="9"/>
        <v>1Russia</v>
      </c>
      <c r="B153" t="s">
        <v>459</v>
      </c>
      <c r="C153" t="s">
        <v>251</v>
      </c>
      <c r="D153" t="str">
        <f t="shared" si="8"/>
        <v>RUS-KOS</v>
      </c>
      <c r="E153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</v>
      </c>
      <c r="G153" t="s">
        <v>424</v>
      </c>
      <c r="H153" t="s">
        <v>759</v>
      </c>
    </row>
    <row r="154" spans="1:8" x14ac:dyDescent="0.25">
      <c r="A154" t="str">
        <f t="shared" si="9"/>
        <v>1Russia</v>
      </c>
      <c r="B154" t="s">
        <v>459</v>
      </c>
      <c r="C154" t="s">
        <v>233</v>
      </c>
      <c r="D154" t="str">
        <f t="shared" si="8"/>
        <v>RUS-KR</v>
      </c>
      <c r="E154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</v>
      </c>
      <c r="G154" t="s">
        <v>913</v>
      </c>
      <c r="H154" t="s">
        <v>765</v>
      </c>
    </row>
    <row r="155" spans="1:8" x14ac:dyDescent="0.25">
      <c r="A155" t="str">
        <f t="shared" si="9"/>
        <v>1Russia</v>
      </c>
      <c r="B155" t="s">
        <v>459</v>
      </c>
      <c r="C155" t="s">
        <v>259</v>
      </c>
      <c r="D155" t="str">
        <f t="shared" si="8"/>
        <v>RUS-KRS</v>
      </c>
      <c r="E155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</v>
      </c>
      <c r="G155" t="s">
        <v>914</v>
      </c>
      <c r="H155" t="s">
        <v>777</v>
      </c>
    </row>
    <row r="156" spans="1:8" x14ac:dyDescent="0.25">
      <c r="A156" t="str">
        <f t="shared" si="9"/>
        <v>1Russia</v>
      </c>
      <c r="B156" t="s">
        <v>459</v>
      </c>
      <c r="C156" t="s">
        <v>255</v>
      </c>
      <c r="D156" t="str">
        <f t="shared" si="8"/>
        <v>RUS-KYA</v>
      </c>
      <c r="E156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</v>
      </c>
      <c r="G156" t="s">
        <v>915</v>
      </c>
      <c r="H156" t="s">
        <v>759</v>
      </c>
    </row>
    <row r="157" spans="1:8" x14ac:dyDescent="0.25">
      <c r="A157" t="str">
        <f t="shared" si="9"/>
        <v>1Russia</v>
      </c>
      <c r="B157" t="s">
        <v>459</v>
      </c>
      <c r="C157" t="s">
        <v>261</v>
      </c>
      <c r="D157" t="str">
        <f t="shared" si="8"/>
        <v>RUS-LEN</v>
      </c>
      <c r="E157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</v>
      </c>
      <c r="G157" t="s">
        <v>916</v>
      </c>
      <c r="H157" t="s">
        <v>759</v>
      </c>
    </row>
    <row r="158" spans="1:8" x14ac:dyDescent="0.25">
      <c r="A158" t="str">
        <f t="shared" si="9"/>
        <v>1Russia</v>
      </c>
      <c r="B158" t="s">
        <v>459</v>
      </c>
      <c r="C158" t="s">
        <v>263</v>
      </c>
      <c r="D158" t="str">
        <f t="shared" si="8"/>
        <v>RUS-LIP</v>
      </c>
      <c r="E158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</v>
      </c>
      <c r="G158" t="s">
        <v>917</v>
      </c>
      <c r="H158" t="s">
        <v>777</v>
      </c>
    </row>
    <row r="159" spans="1:8" x14ac:dyDescent="0.25">
      <c r="A159" t="str">
        <f t="shared" si="9"/>
        <v>1Russia</v>
      </c>
      <c r="B159" t="s">
        <v>459</v>
      </c>
      <c r="C159" t="s">
        <v>265</v>
      </c>
      <c r="D159" t="str">
        <f t="shared" si="8"/>
        <v>RUS-MAG</v>
      </c>
      <c r="E159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</v>
      </c>
      <c r="G159" t="s">
        <v>918</v>
      </c>
      <c r="H159" t="s">
        <v>768</v>
      </c>
    </row>
    <row r="160" spans="1:8" x14ac:dyDescent="0.25">
      <c r="A160" t="str">
        <f t="shared" si="9"/>
        <v>1Russia</v>
      </c>
      <c r="B160" t="s">
        <v>459</v>
      </c>
      <c r="C160" t="s">
        <v>267</v>
      </c>
      <c r="D160" t="str">
        <f t="shared" si="8"/>
        <v>RUS-ME</v>
      </c>
      <c r="E160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</v>
      </c>
      <c r="G160" t="s">
        <v>919</v>
      </c>
      <c r="H160" t="s">
        <v>759</v>
      </c>
    </row>
    <row r="161" spans="1:8" x14ac:dyDescent="0.25">
      <c r="A161" t="str">
        <f t="shared" si="9"/>
        <v>1Russia</v>
      </c>
      <c r="B161" t="s">
        <v>459</v>
      </c>
      <c r="C161" t="s">
        <v>269</v>
      </c>
      <c r="D161" t="str">
        <f t="shared" si="8"/>
        <v>RUS-MO</v>
      </c>
      <c r="E161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</v>
      </c>
      <c r="G161" t="s">
        <v>920</v>
      </c>
      <c r="H161" t="s">
        <v>768</v>
      </c>
    </row>
    <row r="162" spans="1:8" x14ac:dyDescent="0.25">
      <c r="A162" t="str">
        <f t="shared" si="9"/>
        <v>1Russia</v>
      </c>
      <c r="B162" t="s">
        <v>459</v>
      </c>
      <c r="C162" t="s">
        <v>271</v>
      </c>
      <c r="D162" t="str">
        <f t="shared" si="8"/>
        <v>RUS-MOS</v>
      </c>
      <c r="E162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</v>
      </c>
      <c r="G162" t="s">
        <v>921</v>
      </c>
      <c r="H162" t="s">
        <v>768</v>
      </c>
    </row>
    <row r="163" spans="1:8" x14ac:dyDescent="0.25">
      <c r="A163" t="str">
        <f t="shared" si="9"/>
        <v>1Russia</v>
      </c>
      <c r="B163" t="s">
        <v>459</v>
      </c>
      <c r="C163" t="s">
        <v>273</v>
      </c>
      <c r="D163" t="str">
        <f t="shared" si="8"/>
        <v>RUS-MOW</v>
      </c>
      <c r="E163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</v>
      </c>
      <c r="G163" t="s">
        <v>922</v>
      </c>
      <c r="H163" t="s">
        <v>759</v>
      </c>
    </row>
    <row r="164" spans="1:8" x14ac:dyDescent="0.25">
      <c r="A164" t="str">
        <f t="shared" si="9"/>
        <v>1Russia</v>
      </c>
      <c r="B164" t="s">
        <v>459</v>
      </c>
      <c r="C164" t="s">
        <v>275</v>
      </c>
      <c r="D164" t="str">
        <f t="shared" si="8"/>
        <v>RUS-MUR</v>
      </c>
      <c r="E164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</v>
      </c>
      <c r="G164" t="s">
        <v>923</v>
      </c>
      <c r="H164" t="s">
        <v>790</v>
      </c>
    </row>
    <row r="165" spans="1:8" x14ac:dyDescent="0.25">
      <c r="A165" t="str">
        <f t="shared" si="9"/>
        <v>1Russia</v>
      </c>
      <c r="B165" t="s">
        <v>459</v>
      </c>
      <c r="C165" t="s">
        <v>277</v>
      </c>
      <c r="D165" t="str">
        <f t="shared" si="8"/>
        <v>RUS-NEN</v>
      </c>
      <c r="E165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</v>
      </c>
      <c r="G165" t="s">
        <v>924</v>
      </c>
      <c r="H165" t="s">
        <v>765</v>
      </c>
    </row>
    <row r="166" spans="1:8" x14ac:dyDescent="0.25">
      <c r="A166" t="str">
        <f t="shared" si="9"/>
        <v>1Russia</v>
      </c>
      <c r="B166" t="s">
        <v>459</v>
      </c>
      <c r="C166" t="s">
        <v>281</v>
      </c>
      <c r="D166" t="str">
        <f t="shared" si="8"/>
        <v>RUS-NGR</v>
      </c>
      <c r="E166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</v>
      </c>
      <c r="G166" t="s">
        <v>925</v>
      </c>
      <c r="H166" t="s">
        <v>765</v>
      </c>
    </row>
    <row r="167" spans="1:8" x14ac:dyDescent="0.25">
      <c r="A167" t="str">
        <f t="shared" si="9"/>
        <v>1Russia</v>
      </c>
      <c r="B167" t="s">
        <v>459</v>
      </c>
      <c r="C167" t="s">
        <v>279</v>
      </c>
      <c r="D167" t="str">
        <f t="shared" si="8"/>
        <v>RUS-NIZ</v>
      </c>
      <c r="E167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</v>
      </c>
      <c r="G167" t="s">
        <v>431</v>
      </c>
      <c r="H167" t="s">
        <v>768</v>
      </c>
    </row>
    <row r="168" spans="1:8" x14ac:dyDescent="0.25">
      <c r="A168" t="str">
        <f t="shared" si="9"/>
        <v>1Russia</v>
      </c>
      <c r="B168" t="s">
        <v>459</v>
      </c>
      <c r="C168" t="s">
        <v>283</v>
      </c>
      <c r="D168" t="str">
        <f t="shared" si="8"/>
        <v>RUS-NVS</v>
      </c>
      <c r="E168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</v>
      </c>
      <c r="G168" t="s">
        <v>926</v>
      </c>
      <c r="H168" t="s">
        <v>777</v>
      </c>
    </row>
    <row r="169" spans="1:8" x14ac:dyDescent="0.25">
      <c r="A169" t="str">
        <f t="shared" si="9"/>
        <v>1Russia</v>
      </c>
      <c r="B169" t="s">
        <v>459</v>
      </c>
      <c r="C169" t="s">
        <v>285</v>
      </c>
      <c r="D169" t="str">
        <f t="shared" si="8"/>
        <v>RUS-OMS</v>
      </c>
      <c r="E169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</v>
      </c>
      <c r="G169" t="s">
        <v>927</v>
      </c>
      <c r="H169" t="s">
        <v>763</v>
      </c>
    </row>
    <row r="170" spans="1:8" x14ac:dyDescent="0.25">
      <c r="A170" t="str">
        <f t="shared" si="9"/>
        <v>1Russia</v>
      </c>
      <c r="B170" t="s">
        <v>459</v>
      </c>
      <c r="C170" t="s">
        <v>287</v>
      </c>
      <c r="D170" t="str">
        <f t="shared" si="8"/>
        <v>RUS-ORE</v>
      </c>
      <c r="E170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</v>
      </c>
      <c r="G170" t="s">
        <v>928</v>
      </c>
      <c r="H170" t="s">
        <v>761</v>
      </c>
    </row>
    <row r="171" spans="1:8" x14ac:dyDescent="0.25">
      <c r="A171" t="str">
        <f t="shared" si="9"/>
        <v>1Russia</v>
      </c>
      <c r="B171" t="s">
        <v>459</v>
      </c>
      <c r="C171" t="s">
        <v>289</v>
      </c>
      <c r="D171" t="str">
        <f t="shared" si="8"/>
        <v>RUS-ORL</v>
      </c>
      <c r="E171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</v>
      </c>
      <c r="G171" t="s">
        <v>459</v>
      </c>
      <c r="H171" t="s">
        <v>929</v>
      </c>
    </row>
    <row r="172" spans="1:8" x14ac:dyDescent="0.25">
      <c r="A172" t="str">
        <f t="shared" si="9"/>
        <v>1Russia</v>
      </c>
      <c r="B172" t="s">
        <v>459</v>
      </c>
      <c r="C172" t="s">
        <v>293</v>
      </c>
      <c r="D172" t="str">
        <f t="shared" si="8"/>
        <v>RUS-PER</v>
      </c>
      <c r="E172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</v>
      </c>
      <c r="G172" t="s">
        <v>930</v>
      </c>
      <c r="H172" t="s">
        <v>763</v>
      </c>
    </row>
    <row r="173" spans="1:8" x14ac:dyDescent="0.25">
      <c r="A173" t="str">
        <f t="shared" si="9"/>
        <v>1Russia</v>
      </c>
      <c r="B173" t="s">
        <v>459</v>
      </c>
      <c r="C173" t="s">
        <v>291</v>
      </c>
      <c r="D173" t="str">
        <f t="shared" si="8"/>
        <v>RUS-PNZ</v>
      </c>
      <c r="E173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</v>
      </c>
      <c r="G173" t="s">
        <v>931</v>
      </c>
      <c r="H173" t="s">
        <v>759</v>
      </c>
    </row>
    <row r="174" spans="1:8" x14ac:dyDescent="0.25">
      <c r="A174" t="str">
        <f t="shared" si="9"/>
        <v>1Russia</v>
      </c>
      <c r="B174" t="s">
        <v>459</v>
      </c>
      <c r="C174" t="s">
        <v>295</v>
      </c>
      <c r="D174" t="str">
        <f t="shared" si="8"/>
        <v>RUS-PRI</v>
      </c>
      <c r="E174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</v>
      </c>
      <c r="G174" t="s">
        <v>932</v>
      </c>
      <c r="H174" t="s">
        <v>765</v>
      </c>
    </row>
    <row r="175" spans="1:8" x14ac:dyDescent="0.25">
      <c r="A175" t="str">
        <f t="shared" si="9"/>
        <v>1Russia</v>
      </c>
      <c r="B175" t="s">
        <v>459</v>
      </c>
      <c r="C175" t="s">
        <v>297</v>
      </c>
      <c r="D175" t="str">
        <f t="shared" si="8"/>
        <v>RUS-PSK</v>
      </c>
      <c r="E175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</v>
      </c>
      <c r="G175" t="s">
        <v>933</v>
      </c>
      <c r="H175" t="s">
        <v>763</v>
      </c>
    </row>
    <row r="176" spans="1:8" x14ac:dyDescent="0.25">
      <c r="A176" t="str">
        <f t="shared" si="9"/>
        <v>1Russia</v>
      </c>
      <c r="B176" t="s">
        <v>459</v>
      </c>
      <c r="C176" t="s">
        <v>299</v>
      </c>
      <c r="D176" t="str">
        <f t="shared" si="8"/>
        <v>RUS-ROS</v>
      </c>
      <c r="E176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</v>
      </c>
      <c r="G176" t="s">
        <v>934</v>
      </c>
      <c r="H176" t="s">
        <v>777</v>
      </c>
    </row>
    <row r="177" spans="1:8" x14ac:dyDescent="0.25">
      <c r="A177" t="str">
        <f t="shared" si="9"/>
        <v>1Russia</v>
      </c>
      <c r="B177" t="s">
        <v>459</v>
      </c>
      <c r="C177" t="s">
        <v>301</v>
      </c>
      <c r="D177" t="str">
        <f t="shared" si="8"/>
        <v>RUS-RYA</v>
      </c>
      <c r="E177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</v>
      </c>
      <c r="G177" t="s">
        <v>935</v>
      </c>
      <c r="H177" t="s">
        <v>763</v>
      </c>
    </row>
    <row r="178" spans="1:8" x14ac:dyDescent="0.25">
      <c r="A178" t="str">
        <f t="shared" si="9"/>
        <v>1Russia</v>
      </c>
      <c r="B178" t="s">
        <v>459</v>
      </c>
      <c r="C178" t="s">
        <v>303</v>
      </c>
      <c r="D178" t="str">
        <f t="shared" si="8"/>
        <v>RUS-SA</v>
      </c>
      <c r="E178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</v>
      </c>
      <c r="G178" t="s">
        <v>936</v>
      </c>
      <c r="H178" t="s">
        <v>761</v>
      </c>
    </row>
    <row r="179" spans="1:8" x14ac:dyDescent="0.25">
      <c r="A179" t="str">
        <f t="shared" si="9"/>
        <v>1Russia</v>
      </c>
      <c r="B179" t="s">
        <v>459</v>
      </c>
      <c r="C179" t="s">
        <v>305</v>
      </c>
      <c r="D179" t="str">
        <f t="shared" si="8"/>
        <v>RUS-SAK</v>
      </c>
      <c r="E179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</v>
      </c>
      <c r="G179" t="s">
        <v>937</v>
      </c>
      <c r="H179" t="s">
        <v>763</v>
      </c>
    </row>
    <row r="180" spans="1:8" x14ac:dyDescent="0.25">
      <c r="A180" t="str">
        <f t="shared" si="9"/>
        <v>1Russia</v>
      </c>
      <c r="B180" t="s">
        <v>459</v>
      </c>
      <c r="C180" t="s">
        <v>307</v>
      </c>
      <c r="D180" t="str">
        <f t="shared" si="8"/>
        <v>RUS-SAM</v>
      </c>
      <c r="E180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</v>
      </c>
      <c r="G180" t="s">
        <v>938</v>
      </c>
      <c r="H180" t="s">
        <v>763</v>
      </c>
    </row>
    <row r="181" spans="1:8" x14ac:dyDescent="0.25">
      <c r="A181" t="str">
        <f t="shared" si="9"/>
        <v>1Russia</v>
      </c>
      <c r="B181" t="s">
        <v>459</v>
      </c>
      <c r="C181" t="s">
        <v>311</v>
      </c>
      <c r="D181" t="str">
        <f t="shared" si="8"/>
        <v>RUS-SAR</v>
      </c>
      <c r="E181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</v>
      </c>
      <c r="G181" t="s">
        <v>939</v>
      </c>
      <c r="H181" t="s">
        <v>759</v>
      </c>
    </row>
    <row r="182" spans="1:8" x14ac:dyDescent="0.25">
      <c r="A182" t="str">
        <f t="shared" si="9"/>
        <v>1Russia</v>
      </c>
      <c r="B182" t="s">
        <v>459</v>
      </c>
      <c r="C182" t="s">
        <v>57</v>
      </c>
      <c r="D182" t="str">
        <f t="shared" si="8"/>
        <v>RUS-SE</v>
      </c>
      <c r="E182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</v>
      </c>
      <c r="G182" t="s">
        <v>940</v>
      </c>
      <c r="H182" t="s">
        <v>768</v>
      </c>
    </row>
    <row r="183" spans="1:8" x14ac:dyDescent="0.25">
      <c r="A183" t="str">
        <f t="shared" si="9"/>
        <v>1Russia</v>
      </c>
      <c r="B183" t="s">
        <v>459</v>
      </c>
      <c r="C183" t="s">
        <v>314</v>
      </c>
      <c r="D183" t="str">
        <f t="shared" si="8"/>
        <v>RUS-SMO</v>
      </c>
      <c r="E183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</v>
      </c>
      <c r="G183" t="s">
        <v>941</v>
      </c>
      <c r="H183" t="s">
        <v>765</v>
      </c>
    </row>
    <row r="184" spans="1:8" x14ac:dyDescent="0.25">
      <c r="A184" t="str">
        <f t="shared" si="9"/>
        <v>1Russia</v>
      </c>
      <c r="B184" t="s">
        <v>459</v>
      </c>
      <c r="C184" t="s">
        <v>309</v>
      </c>
      <c r="D184" t="str">
        <f t="shared" si="8"/>
        <v>RUS-SPE</v>
      </c>
      <c r="E184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</v>
      </c>
      <c r="G184" t="s">
        <v>942</v>
      </c>
      <c r="H184" t="s">
        <v>765</v>
      </c>
    </row>
    <row r="185" spans="1:8" x14ac:dyDescent="0.25">
      <c r="A185" t="str">
        <f t="shared" si="9"/>
        <v>1Russia</v>
      </c>
      <c r="B185" t="s">
        <v>459</v>
      </c>
      <c r="C185" t="s">
        <v>316</v>
      </c>
      <c r="D185" t="str">
        <f t="shared" si="8"/>
        <v>RUS-STA</v>
      </c>
      <c r="E185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</v>
      </c>
      <c r="G185" t="s">
        <v>943</v>
      </c>
      <c r="H185" t="s">
        <v>759</v>
      </c>
    </row>
    <row r="186" spans="1:8" x14ac:dyDescent="0.25">
      <c r="A186" t="str">
        <f t="shared" si="9"/>
        <v>1Russia</v>
      </c>
      <c r="B186" t="s">
        <v>459</v>
      </c>
      <c r="C186" t="s">
        <v>318</v>
      </c>
      <c r="D186" t="str">
        <f t="shared" si="8"/>
        <v>RUS-SVE</v>
      </c>
      <c r="E186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</v>
      </c>
      <c r="G186" t="s">
        <v>944</v>
      </c>
      <c r="H186" t="s">
        <v>763</v>
      </c>
    </row>
    <row r="187" spans="1:8" x14ac:dyDescent="0.25">
      <c r="A187" t="str">
        <f t="shared" si="9"/>
        <v>1Russia</v>
      </c>
      <c r="B187" t="s">
        <v>459</v>
      </c>
      <c r="C187" t="s">
        <v>322</v>
      </c>
      <c r="D187" t="str">
        <f t="shared" si="8"/>
        <v>RUS-TA</v>
      </c>
      <c r="E187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</v>
      </c>
      <c r="G187" t="s">
        <v>945</v>
      </c>
      <c r="H187" t="s">
        <v>763</v>
      </c>
    </row>
    <row r="188" spans="1:8" x14ac:dyDescent="0.25">
      <c r="A188" t="str">
        <f t="shared" si="9"/>
        <v>1Russia</v>
      </c>
      <c r="B188" t="s">
        <v>459</v>
      </c>
      <c r="C188" t="s">
        <v>320</v>
      </c>
      <c r="D188" t="str">
        <f t="shared" si="8"/>
        <v>RUS-TAM</v>
      </c>
      <c r="E188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</v>
      </c>
      <c r="G188" t="s">
        <v>946</v>
      </c>
      <c r="H188" t="s">
        <v>790</v>
      </c>
    </row>
    <row r="189" spans="1:8" x14ac:dyDescent="0.25">
      <c r="A189" t="str">
        <f t="shared" si="9"/>
        <v>1Russia</v>
      </c>
      <c r="B189" t="s">
        <v>459</v>
      </c>
      <c r="C189" t="s">
        <v>324</v>
      </c>
      <c r="D189" t="str">
        <f t="shared" si="8"/>
        <v>RUS-TAY</v>
      </c>
      <c r="E189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</v>
      </c>
      <c r="G189" t="s">
        <v>947</v>
      </c>
      <c r="H189" t="s">
        <v>763</v>
      </c>
    </row>
    <row r="190" spans="1:8" x14ac:dyDescent="0.25">
      <c r="A190" t="str">
        <f t="shared" si="9"/>
        <v>1Russia</v>
      </c>
      <c r="B190" t="s">
        <v>459</v>
      </c>
      <c r="C190" t="s">
        <v>326</v>
      </c>
      <c r="D190" t="str">
        <f t="shared" si="8"/>
        <v>RUS-TOM</v>
      </c>
      <c r="E190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</v>
      </c>
      <c r="G190" t="s">
        <v>948</v>
      </c>
      <c r="H190" t="s">
        <v>765</v>
      </c>
    </row>
    <row r="191" spans="1:8" x14ac:dyDescent="0.25">
      <c r="A191" t="str">
        <f t="shared" si="9"/>
        <v>1Russia</v>
      </c>
      <c r="B191" t="s">
        <v>459</v>
      </c>
      <c r="C191" t="s">
        <v>328</v>
      </c>
      <c r="D191" t="str">
        <f t="shared" si="8"/>
        <v>RUS-TUL</v>
      </c>
      <c r="E191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</v>
      </c>
      <c r="G191" t="s">
        <v>949</v>
      </c>
      <c r="H191" t="s">
        <v>759</v>
      </c>
    </row>
    <row r="192" spans="1:8" x14ac:dyDescent="0.25">
      <c r="A192" t="str">
        <f t="shared" si="9"/>
        <v>1Russia</v>
      </c>
      <c r="B192" t="s">
        <v>459</v>
      </c>
      <c r="C192" t="s">
        <v>330</v>
      </c>
      <c r="D192" t="str">
        <f t="shared" si="8"/>
        <v>RUS-TVE</v>
      </c>
      <c r="E192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</v>
      </c>
      <c r="G192" t="s">
        <v>950</v>
      </c>
      <c r="H192" t="s">
        <v>768</v>
      </c>
    </row>
    <row r="193" spans="1:8" x14ac:dyDescent="0.25">
      <c r="A193" t="str">
        <f t="shared" si="9"/>
        <v>1Russia</v>
      </c>
      <c r="B193" t="s">
        <v>459</v>
      </c>
      <c r="C193" t="s">
        <v>334</v>
      </c>
      <c r="D193" t="str">
        <f t="shared" si="8"/>
        <v>RUS-TY</v>
      </c>
      <c r="E193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</v>
      </c>
      <c r="G193" t="s">
        <v>951</v>
      </c>
      <c r="H193" t="s">
        <v>768</v>
      </c>
    </row>
    <row r="194" spans="1:8" x14ac:dyDescent="0.25">
      <c r="A194" t="str">
        <f t="shared" si="9"/>
        <v>1Russia</v>
      </c>
      <c r="B194" t="s">
        <v>459</v>
      </c>
      <c r="C194" t="s">
        <v>332</v>
      </c>
      <c r="D194" t="str">
        <f t="shared" si="8"/>
        <v>RUS-TYU</v>
      </c>
      <c r="E194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</v>
      </c>
      <c r="G194" t="s">
        <v>952</v>
      </c>
      <c r="H194" t="s">
        <v>768</v>
      </c>
    </row>
    <row r="195" spans="1:8" x14ac:dyDescent="0.25">
      <c r="A195" t="str">
        <f t="shared" si="9"/>
        <v>1Russia</v>
      </c>
      <c r="B195" t="s">
        <v>459</v>
      </c>
      <c r="C195" t="s">
        <v>336</v>
      </c>
      <c r="D195" t="str">
        <f t="shared" si="8"/>
        <v>RUS-UD</v>
      </c>
      <c r="E195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,RUS-UD</v>
      </c>
      <c r="G195" t="s">
        <v>953</v>
      </c>
      <c r="H195" t="s">
        <v>768</v>
      </c>
    </row>
    <row r="196" spans="1:8" x14ac:dyDescent="0.25">
      <c r="A196" t="str">
        <f t="shared" si="9"/>
        <v>1Russia</v>
      </c>
      <c r="B196" t="s">
        <v>459</v>
      </c>
      <c r="C196" t="s">
        <v>338</v>
      </c>
      <c r="D196" t="str">
        <f t="shared" si="8"/>
        <v>RUS-ULY</v>
      </c>
      <c r="E196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,RUS-UD,RUS-ULY</v>
      </c>
      <c r="G196" t="s">
        <v>954</v>
      </c>
      <c r="H196" t="s">
        <v>763</v>
      </c>
    </row>
    <row r="197" spans="1:8" x14ac:dyDescent="0.25">
      <c r="A197" t="str">
        <f t="shared" si="9"/>
        <v>1Russia</v>
      </c>
      <c r="B197" t="s">
        <v>459</v>
      </c>
      <c r="C197" t="s">
        <v>340</v>
      </c>
      <c r="D197" t="str">
        <f t="shared" ref="D197:D260" si="11">VLOOKUP(B197,$G$5:$H$234,2,FALSE)&amp;"-"&amp;C197</f>
        <v>RUS-UOB</v>
      </c>
      <c r="E197" t="str">
        <f t="shared" si="10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,RUS-UD,RUS-ULY,RUS-UOB</v>
      </c>
      <c r="G197" t="s">
        <v>955</v>
      </c>
      <c r="H197" t="s">
        <v>768</v>
      </c>
    </row>
    <row r="198" spans="1:8" x14ac:dyDescent="0.25">
      <c r="A198" t="str">
        <f t="shared" ref="A198:A261" si="12">IF(B198=B199,1,0)&amp;B198</f>
        <v>1Russia</v>
      </c>
      <c r="B198" t="s">
        <v>459</v>
      </c>
      <c r="C198" t="s">
        <v>344</v>
      </c>
      <c r="D198" t="str">
        <f t="shared" si="11"/>
        <v>RUS-VGG</v>
      </c>
      <c r="E198" t="str">
        <f t="shared" ref="E198:E261" si="13">IF(B198=B197,E197&amp;","&amp;D198,D198)</f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,RUS-UD,RUS-ULY,RUS-UOB,RUS-VGG</v>
      </c>
      <c r="G198" t="s">
        <v>956</v>
      </c>
      <c r="H198" t="s">
        <v>790</v>
      </c>
    </row>
    <row r="199" spans="1:8" x14ac:dyDescent="0.25">
      <c r="A199" t="str">
        <f t="shared" si="12"/>
        <v>1Russia</v>
      </c>
      <c r="B199" t="s">
        <v>459</v>
      </c>
      <c r="C199" t="s">
        <v>342</v>
      </c>
      <c r="D199" t="str">
        <f t="shared" si="11"/>
        <v>RUS-VLA</v>
      </c>
      <c r="E199" t="str">
        <f t="shared" si="13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,RUS-UD,RUS-ULY,RUS-UOB,RUS-VGG,RUS-VLA</v>
      </c>
      <c r="G199" t="s">
        <v>957</v>
      </c>
      <c r="H199" t="s">
        <v>763</v>
      </c>
    </row>
    <row r="200" spans="1:8" x14ac:dyDescent="0.25">
      <c r="A200" t="str">
        <f t="shared" si="12"/>
        <v>1Russia</v>
      </c>
      <c r="B200" t="s">
        <v>459</v>
      </c>
      <c r="C200" t="s">
        <v>346</v>
      </c>
      <c r="D200" t="str">
        <f t="shared" si="11"/>
        <v>RUS-VLG</v>
      </c>
      <c r="E200" t="str">
        <f t="shared" si="13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,RUS-UD,RUS-ULY,RUS-UOB,RUS-VGG,RUS-VLA,RUS-VLG</v>
      </c>
      <c r="G200" t="s">
        <v>958</v>
      </c>
      <c r="H200" t="s">
        <v>765</v>
      </c>
    </row>
    <row r="201" spans="1:8" x14ac:dyDescent="0.25">
      <c r="A201" t="str">
        <f t="shared" si="12"/>
        <v>1Russia</v>
      </c>
      <c r="B201" t="s">
        <v>459</v>
      </c>
      <c r="C201" t="s">
        <v>348</v>
      </c>
      <c r="D201" t="str">
        <f t="shared" si="11"/>
        <v>RUS-VOR</v>
      </c>
      <c r="E201" t="str">
        <f t="shared" si="13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,RUS-UD,RUS-ULY,RUS-UOB,RUS-VGG,RUS-VLA,RUS-VLG,RUS-VOR</v>
      </c>
      <c r="G201" t="s">
        <v>959</v>
      </c>
      <c r="H201" t="s">
        <v>765</v>
      </c>
    </row>
    <row r="202" spans="1:8" x14ac:dyDescent="0.25">
      <c r="A202" t="str">
        <f t="shared" si="12"/>
        <v>1Russia</v>
      </c>
      <c r="B202" t="s">
        <v>459</v>
      </c>
      <c r="C202" t="s">
        <v>350</v>
      </c>
      <c r="D202" t="str">
        <f t="shared" si="11"/>
        <v>RUS-YAN</v>
      </c>
      <c r="E202" t="str">
        <f t="shared" si="13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,RUS-UD,RUS-ULY,RUS-UOB,RUS-VGG,RUS-VLA,RUS-VLG,RUS-VOR,RUS-YAN</v>
      </c>
      <c r="G202" t="s">
        <v>960</v>
      </c>
      <c r="H202" t="s">
        <v>777</v>
      </c>
    </row>
    <row r="203" spans="1:8" x14ac:dyDescent="0.25">
      <c r="A203" t="str">
        <f t="shared" si="12"/>
        <v>1Russia</v>
      </c>
      <c r="B203" t="s">
        <v>459</v>
      </c>
      <c r="C203" t="s">
        <v>352</v>
      </c>
      <c r="D203" t="str">
        <f t="shared" si="11"/>
        <v>RUS-YAR</v>
      </c>
      <c r="E203" t="str">
        <f t="shared" si="13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,RUS-UD,RUS-ULY,RUS-UOB,RUS-VGG,RUS-VLA,RUS-VLG,RUS-VOR,RUS-YAN,RUS-YAR</v>
      </c>
      <c r="G203" t="s">
        <v>114</v>
      </c>
      <c r="H203" t="s">
        <v>759</v>
      </c>
    </row>
    <row r="204" spans="1:8" x14ac:dyDescent="0.25">
      <c r="A204" t="str">
        <f t="shared" si="12"/>
        <v>1Russia</v>
      </c>
      <c r="B204" t="s">
        <v>459</v>
      </c>
      <c r="C204" t="s">
        <v>354</v>
      </c>
      <c r="D204" t="str">
        <f t="shared" si="11"/>
        <v>RUS-YEV</v>
      </c>
      <c r="E204" t="str">
        <f t="shared" si="13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,RUS-UD,RUS-ULY,RUS-UOB,RUS-VGG,RUS-VLA,RUS-VLG,RUS-VOR,RUS-YAN,RUS-YAR,RUS-YEV</v>
      </c>
      <c r="G204" t="s">
        <v>961</v>
      </c>
      <c r="H204" t="s">
        <v>761</v>
      </c>
    </row>
    <row r="205" spans="1:8" x14ac:dyDescent="0.25">
      <c r="A205" t="str">
        <f t="shared" si="12"/>
        <v>0Russia</v>
      </c>
      <c r="B205" t="s">
        <v>459</v>
      </c>
      <c r="C205" t="s">
        <v>493</v>
      </c>
      <c r="D205" t="str">
        <f t="shared" si="11"/>
        <v>RUS-ZAB</v>
      </c>
      <c r="E205" t="str">
        <f t="shared" si="13"/>
        <v>RUS-AD,RUS-AGB,RUS-AL,RUS-ALT,RUS-AMU,RUS-ARK,RUS-AST,RUS-BA,RUS-BEL,RUS-BRY,RUS-BU,RUS-CE,RUS-CHE,RUS-CHI,RUS-CHU,RUS-CU,RUS-DA,RUS-EVE,RUS-IN,RUS-IRK,RUS-IVA,RUS-KAM,RUS-KB,RUS-KC,RUS-KDA,RUS-KEM,RUS-KGD,RUS-KGN,RUS-KHA,RUS-KHM,RUS-KIR,RUS-KK,RUS-KL,RUS-KLU,RUS-KO,RUS-KOP,RUS-KOR,RUS-KOS,RUS-KR,RUS-KRS,RUS-KYA,RUS-LEN,RUS-LIP,RUS-MAG,RUS-ME,RUS-MO,RUS-MOS,RUS-MOW,RUS-MUR,RUS-NEN,RUS-NGR,RUS-NIZ,RUS-NVS,RUS-OMS,RUS-ORE,RUS-ORL,RUS-PER,RUS-PNZ,RUS-PRI,RUS-PSK,RUS-ROS,RUS-RYA,RUS-SA,RUS-SAK,RUS-SAM,RUS-SAR,RUS-SE,RUS-SMO,RUS-SPE,RUS-STA,RUS-SVE,RUS-TA,RUS-TAM,RUS-TAY,RUS-TOM,RUS-TUL,RUS-TVE,RUS-TY,RUS-TYU,RUS-UD,RUS-ULY,RUS-UOB,RUS-VGG,RUS-VLA,RUS-VLG,RUS-VOR,RUS-YAN,RUS-YAR,RUS-YEV,RUS-ZAB</v>
      </c>
      <c r="G205" t="s">
        <v>962</v>
      </c>
      <c r="H205" t="s">
        <v>763</v>
      </c>
    </row>
    <row r="206" spans="1:8" x14ac:dyDescent="0.25">
      <c r="A206" t="str">
        <f t="shared" si="12"/>
        <v>1United States</v>
      </c>
      <c r="B206" t="s">
        <v>355</v>
      </c>
      <c r="C206" t="s">
        <v>364</v>
      </c>
      <c r="D206" t="str">
        <f t="shared" si="11"/>
        <v>USA-AA</v>
      </c>
      <c r="E206" t="str">
        <f t="shared" si="13"/>
        <v>USA-AA</v>
      </c>
      <c r="G206" t="s">
        <v>963</v>
      </c>
      <c r="H206" t="s">
        <v>759</v>
      </c>
    </row>
    <row r="207" spans="1:8" x14ac:dyDescent="0.25">
      <c r="A207" t="str">
        <f t="shared" si="12"/>
        <v>1United States</v>
      </c>
      <c r="B207" t="s">
        <v>355</v>
      </c>
      <c r="C207" t="s">
        <v>366</v>
      </c>
      <c r="D207" t="str">
        <f t="shared" si="11"/>
        <v>USA-AE</v>
      </c>
      <c r="E207" t="str">
        <f t="shared" si="13"/>
        <v>USA-AA,USA-AE</v>
      </c>
      <c r="G207" t="s">
        <v>964</v>
      </c>
      <c r="H207" t="s">
        <v>768</v>
      </c>
    </row>
    <row r="208" spans="1:8" x14ac:dyDescent="0.25">
      <c r="A208" t="str">
        <f t="shared" si="12"/>
        <v>1United States</v>
      </c>
      <c r="B208" t="s">
        <v>355</v>
      </c>
      <c r="C208" t="s">
        <v>358</v>
      </c>
      <c r="D208" t="str">
        <f t="shared" si="11"/>
        <v>USA-AK</v>
      </c>
      <c r="E208" t="str">
        <f t="shared" si="13"/>
        <v>USA-AA,USA-AE,USA-AK</v>
      </c>
      <c r="G208" t="s">
        <v>965</v>
      </c>
      <c r="H208" t="s">
        <v>763</v>
      </c>
    </row>
    <row r="209" spans="1:8" x14ac:dyDescent="0.25">
      <c r="A209" t="str">
        <f t="shared" si="12"/>
        <v>1United States</v>
      </c>
      <c r="B209" t="s">
        <v>355</v>
      </c>
      <c r="C209" t="s">
        <v>7</v>
      </c>
      <c r="D209" t="str">
        <f t="shared" si="11"/>
        <v>USA-AL</v>
      </c>
      <c r="E209" t="str">
        <f t="shared" si="13"/>
        <v>USA-AA,USA-AE,USA-AK,USA-AL</v>
      </c>
      <c r="G209" t="s">
        <v>966</v>
      </c>
      <c r="H209" t="s">
        <v>759</v>
      </c>
    </row>
    <row r="210" spans="1:8" x14ac:dyDescent="0.25">
      <c r="A210" t="str">
        <f t="shared" si="12"/>
        <v>1United States</v>
      </c>
      <c r="B210" t="s">
        <v>355</v>
      </c>
      <c r="C210" t="s">
        <v>9</v>
      </c>
      <c r="D210" t="str">
        <f t="shared" si="11"/>
        <v>USA-AP</v>
      </c>
      <c r="E210" t="str">
        <f t="shared" si="13"/>
        <v>USA-AA,USA-AE,USA-AK,USA-AL,USA-AP</v>
      </c>
      <c r="G210" t="s">
        <v>967</v>
      </c>
      <c r="H210" t="s">
        <v>763</v>
      </c>
    </row>
    <row r="211" spans="1:8" x14ac:dyDescent="0.25">
      <c r="A211" t="str">
        <f t="shared" si="12"/>
        <v>1United States</v>
      </c>
      <c r="B211" t="s">
        <v>355</v>
      </c>
      <c r="C211" t="s">
        <v>125</v>
      </c>
      <c r="D211" t="str">
        <f t="shared" si="11"/>
        <v>USA-AR</v>
      </c>
      <c r="E211" t="str">
        <f t="shared" si="13"/>
        <v>USA-AA,USA-AE,USA-AK,USA-AL,USA-AP,USA-AR</v>
      </c>
      <c r="G211" t="s">
        <v>968</v>
      </c>
      <c r="H211" t="s">
        <v>790</v>
      </c>
    </row>
    <row r="212" spans="1:8" x14ac:dyDescent="0.25">
      <c r="A212" t="str">
        <f t="shared" si="12"/>
        <v>1United States</v>
      </c>
      <c r="B212" t="s">
        <v>355</v>
      </c>
      <c r="C212" t="s">
        <v>127</v>
      </c>
      <c r="D212" t="str">
        <f t="shared" si="11"/>
        <v>USA-AS</v>
      </c>
      <c r="E212" t="str">
        <f t="shared" si="13"/>
        <v>USA-AA,USA-AE,USA-AK,USA-AL,USA-AP,USA-AR,USA-AS</v>
      </c>
      <c r="G212" t="s">
        <v>969</v>
      </c>
      <c r="H212" t="s">
        <v>759</v>
      </c>
    </row>
    <row r="213" spans="1:8" x14ac:dyDescent="0.25">
      <c r="A213" t="str">
        <f t="shared" si="12"/>
        <v>1United States</v>
      </c>
      <c r="B213" t="s">
        <v>355</v>
      </c>
      <c r="C213" t="s">
        <v>361</v>
      </c>
      <c r="D213" t="str">
        <f t="shared" si="11"/>
        <v>USA-AZ</v>
      </c>
      <c r="E213" t="str">
        <f t="shared" si="13"/>
        <v>USA-AA,USA-AE,USA-AK,USA-AL,USA-AP,USA-AR,USA-AS,USA-AZ</v>
      </c>
      <c r="G213" t="s">
        <v>970</v>
      </c>
      <c r="H213" t="s">
        <v>768</v>
      </c>
    </row>
    <row r="214" spans="1:8" x14ac:dyDescent="0.25">
      <c r="A214" t="str">
        <f t="shared" si="12"/>
        <v>1United States</v>
      </c>
      <c r="B214" t="s">
        <v>355</v>
      </c>
      <c r="C214" t="s">
        <v>369</v>
      </c>
      <c r="D214" t="str">
        <f t="shared" si="11"/>
        <v>USA-CA</v>
      </c>
      <c r="E214" t="str">
        <f t="shared" si="13"/>
        <v>USA-AA,USA-AE,USA-AK,USA-AL,USA-AP,USA-AR,USA-AS,USA-AZ,USA-CA</v>
      </c>
      <c r="G214" t="s">
        <v>971</v>
      </c>
      <c r="H214" t="s">
        <v>763</v>
      </c>
    </row>
    <row r="215" spans="1:8" x14ac:dyDescent="0.25">
      <c r="A215" t="str">
        <f t="shared" si="12"/>
        <v>1United States</v>
      </c>
      <c r="B215" t="s">
        <v>355</v>
      </c>
      <c r="C215" t="s">
        <v>371</v>
      </c>
      <c r="D215" t="str">
        <f t="shared" si="11"/>
        <v>USA-CO</v>
      </c>
      <c r="E215" t="str">
        <f t="shared" si="13"/>
        <v>USA-AA,USA-AE,USA-AK,USA-AL,USA-AP,USA-AR,USA-AS,USA-AZ,USA-CA,USA-CO</v>
      </c>
      <c r="G215" t="s">
        <v>972</v>
      </c>
      <c r="H215" t="s">
        <v>765</v>
      </c>
    </row>
    <row r="216" spans="1:8" x14ac:dyDescent="0.25">
      <c r="A216" t="str">
        <f t="shared" si="12"/>
        <v>1United States</v>
      </c>
      <c r="B216" t="s">
        <v>355</v>
      </c>
      <c r="C216" t="s">
        <v>373</v>
      </c>
      <c r="D216" t="str">
        <f t="shared" si="11"/>
        <v>USA-CT</v>
      </c>
      <c r="E216" t="str">
        <f t="shared" si="13"/>
        <v>USA-AA,USA-AE,USA-AK,USA-AL,USA-AP,USA-AR,USA-AS,USA-AZ,USA-CA,USA-CO,USA-CT</v>
      </c>
      <c r="G216" t="s">
        <v>973</v>
      </c>
      <c r="H216" t="s">
        <v>761</v>
      </c>
    </row>
    <row r="217" spans="1:8" x14ac:dyDescent="0.25">
      <c r="A217" t="str">
        <f t="shared" si="12"/>
        <v>1United States</v>
      </c>
      <c r="B217" t="s">
        <v>355</v>
      </c>
      <c r="C217" t="s">
        <v>377</v>
      </c>
      <c r="D217" t="str">
        <f t="shared" si="11"/>
        <v>USA-DC</v>
      </c>
      <c r="E217" t="str">
        <f t="shared" si="13"/>
        <v>USA-AA,USA-AE,USA-AK,USA-AL,USA-AP,USA-AR,USA-AS,USA-AZ,USA-CA,USA-CO,USA-CT,USA-DC</v>
      </c>
      <c r="G217" t="s">
        <v>974</v>
      </c>
      <c r="H217" t="s">
        <v>768</v>
      </c>
    </row>
    <row r="218" spans="1:8" x14ac:dyDescent="0.25">
      <c r="A218" t="str">
        <f t="shared" si="12"/>
        <v>1United States</v>
      </c>
      <c r="B218" t="s">
        <v>355</v>
      </c>
      <c r="C218" t="s">
        <v>375</v>
      </c>
      <c r="D218" t="str">
        <f t="shared" si="11"/>
        <v>USA-DE</v>
      </c>
      <c r="E218" t="str">
        <f t="shared" si="13"/>
        <v>USA-AA,USA-AE,USA-AK,USA-AL,USA-AP,USA-AR,USA-AS,USA-AZ,USA-CA,USA-CO,USA-CT,USA-DC,USA-DE</v>
      </c>
      <c r="G218" t="s">
        <v>975</v>
      </c>
      <c r="H218" t="s">
        <v>759</v>
      </c>
    </row>
    <row r="219" spans="1:8" x14ac:dyDescent="0.25">
      <c r="A219" t="str">
        <f t="shared" si="12"/>
        <v>1United States</v>
      </c>
      <c r="B219" t="s">
        <v>355</v>
      </c>
      <c r="C219" t="s">
        <v>379</v>
      </c>
      <c r="D219" t="str">
        <f t="shared" si="11"/>
        <v>USA-FL</v>
      </c>
      <c r="E219" t="str">
        <f t="shared" si="13"/>
        <v>USA-AA,USA-AE,USA-AK,USA-AL,USA-AP,USA-AR,USA-AS,USA-AZ,USA-CA,USA-CO,USA-CT,USA-DC,USA-DE,USA-FL</v>
      </c>
      <c r="G219" t="s">
        <v>976</v>
      </c>
      <c r="H219" t="s">
        <v>763</v>
      </c>
    </row>
    <row r="220" spans="1:8" x14ac:dyDescent="0.25">
      <c r="A220" t="str">
        <f t="shared" si="12"/>
        <v>1United States</v>
      </c>
      <c r="B220" t="s">
        <v>355</v>
      </c>
      <c r="C220" t="s">
        <v>139</v>
      </c>
      <c r="D220" t="str">
        <f t="shared" si="11"/>
        <v>USA-GA</v>
      </c>
      <c r="E220" t="str">
        <f t="shared" si="13"/>
        <v>USA-AA,USA-AE,USA-AK,USA-AL,USA-AP,USA-AR,USA-AS,USA-AZ,USA-CA,USA-CO,USA-CT,USA-DC,USA-DE,USA-FL,USA-GA</v>
      </c>
      <c r="G220" t="s">
        <v>977</v>
      </c>
      <c r="H220" t="s">
        <v>761</v>
      </c>
    </row>
    <row r="221" spans="1:8" x14ac:dyDescent="0.25">
      <c r="A221" t="str">
        <f t="shared" si="12"/>
        <v>1United States</v>
      </c>
      <c r="B221" t="s">
        <v>355</v>
      </c>
      <c r="C221" t="s">
        <v>382</v>
      </c>
      <c r="D221" t="str">
        <f t="shared" si="11"/>
        <v>USA-GU</v>
      </c>
      <c r="E221" t="str">
        <f t="shared" si="13"/>
        <v>USA-AA,USA-AE,USA-AK,USA-AL,USA-AP,USA-AR,USA-AS,USA-AZ,USA-CA,USA-CO,USA-CT,USA-DC,USA-DE,USA-FL,USA-GA,USA-GU</v>
      </c>
      <c r="G221" t="s">
        <v>978</v>
      </c>
      <c r="H221" t="s">
        <v>777</v>
      </c>
    </row>
    <row r="222" spans="1:8" x14ac:dyDescent="0.25">
      <c r="A222" t="str">
        <f t="shared" si="12"/>
        <v>1United States</v>
      </c>
      <c r="B222" t="s">
        <v>355</v>
      </c>
      <c r="C222" t="s">
        <v>384</v>
      </c>
      <c r="D222" t="str">
        <f t="shared" si="11"/>
        <v>USA-HI</v>
      </c>
      <c r="E222" t="str">
        <f t="shared" si="13"/>
        <v>USA-AA,USA-AE,USA-AK,USA-AL,USA-AP,USA-AR,USA-AS,USA-AZ,USA-CA,USA-CO,USA-CT,USA-DC,USA-DE,USA-FL,USA-GA,USA-GU,USA-HI</v>
      </c>
      <c r="G222" t="s">
        <v>979</v>
      </c>
      <c r="H222" t="s">
        <v>765</v>
      </c>
    </row>
    <row r="223" spans="1:8" x14ac:dyDescent="0.25">
      <c r="A223" t="str">
        <f t="shared" si="12"/>
        <v>1United States</v>
      </c>
      <c r="B223" t="s">
        <v>355</v>
      </c>
      <c r="C223" t="s">
        <v>391</v>
      </c>
      <c r="D223" t="str">
        <f t="shared" si="11"/>
        <v>USA-IA</v>
      </c>
      <c r="E223" t="str">
        <f t="shared" si="13"/>
        <v>USA-AA,USA-AE,USA-AK,USA-AL,USA-AP,USA-AR,USA-AS,USA-AZ,USA-CA,USA-CO,USA-CT,USA-DC,USA-DE,USA-FL,USA-GA,USA-GU,USA-HI,USA-IA</v>
      </c>
      <c r="G223" t="s">
        <v>355</v>
      </c>
      <c r="H223" t="s">
        <v>980</v>
      </c>
    </row>
    <row r="224" spans="1:8" x14ac:dyDescent="0.25">
      <c r="A224" t="str">
        <f t="shared" si="12"/>
        <v>1United States</v>
      </c>
      <c r="B224" t="s">
        <v>355</v>
      </c>
      <c r="C224" t="s">
        <v>386</v>
      </c>
      <c r="D224" t="str">
        <f t="shared" si="11"/>
        <v>USA-ID</v>
      </c>
      <c r="E224" t="str">
        <f t="shared" si="13"/>
        <v>USA-AA,USA-AE,USA-AK,USA-AL,USA-AP,USA-AR,USA-AS,USA-AZ,USA-CA,USA-CO,USA-CT,USA-DC,USA-DE,USA-FL,USA-GA,USA-GU,USA-HI,USA-IA,USA-ID</v>
      </c>
      <c r="G224" t="s">
        <v>981</v>
      </c>
      <c r="H224" t="s">
        <v>768</v>
      </c>
    </row>
    <row r="225" spans="1:8" x14ac:dyDescent="0.25">
      <c r="A225" t="str">
        <f t="shared" si="12"/>
        <v>1United States</v>
      </c>
      <c r="B225" t="s">
        <v>355</v>
      </c>
      <c r="C225" t="s">
        <v>388</v>
      </c>
      <c r="D225" t="str">
        <f t="shared" si="11"/>
        <v>USA-IL</v>
      </c>
      <c r="E225" t="str">
        <f t="shared" si="13"/>
        <v>USA-AA,USA-AE,USA-AK,USA-AL,USA-AP,USA-AR,USA-AS,USA-AZ,USA-CA,USA-CO,USA-CT,USA-DC,USA-DE,USA-FL,USA-GA,USA-GU,USA-HI,USA-IA,USA-ID,USA-IL</v>
      </c>
      <c r="G225" t="s">
        <v>982</v>
      </c>
      <c r="H225" t="s">
        <v>761</v>
      </c>
    </row>
    <row r="226" spans="1:8" x14ac:dyDescent="0.25">
      <c r="A226" t="str">
        <f t="shared" si="12"/>
        <v>1United States</v>
      </c>
      <c r="B226" t="s">
        <v>355</v>
      </c>
      <c r="C226" t="s">
        <v>216</v>
      </c>
      <c r="D226" t="str">
        <f t="shared" si="11"/>
        <v>USA-IN</v>
      </c>
      <c r="E226" t="str">
        <f t="shared" si="13"/>
        <v>USA-AA,USA-AE,USA-AK,USA-AL,USA-AP,USA-AR,USA-AS,USA-AZ,USA-CA,USA-CO,USA-CT,USA-DC,USA-DE,USA-FL,USA-GA,USA-GU,USA-HI,USA-IA,USA-ID,USA-IL,USA-IN</v>
      </c>
      <c r="G226" t="s">
        <v>983</v>
      </c>
      <c r="H226" t="s">
        <v>759</v>
      </c>
    </row>
    <row r="227" spans="1:8" x14ac:dyDescent="0.25">
      <c r="A227" t="str">
        <f t="shared" si="12"/>
        <v>1United States</v>
      </c>
      <c r="B227" t="s">
        <v>355</v>
      </c>
      <c r="C227" t="s">
        <v>393</v>
      </c>
      <c r="D227" t="str">
        <f t="shared" si="11"/>
        <v>USA-KS</v>
      </c>
      <c r="E227" t="str">
        <f t="shared" si="13"/>
        <v>USA-AA,USA-AE,USA-AK,USA-AL,USA-AP,USA-AR,USA-AS,USA-AZ,USA-CA,USA-CO,USA-CT,USA-DC,USA-DE,USA-FL,USA-GA,USA-GU,USA-HI,USA-IA,USA-ID,USA-IL,USA-IN,USA-KS</v>
      </c>
      <c r="G227" t="s">
        <v>984</v>
      </c>
      <c r="H227" t="s">
        <v>765</v>
      </c>
    </row>
    <row r="228" spans="1:8" x14ac:dyDescent="0.25">
      <c r="A228" t="str">
        <f t="shared" si="12"/>
        <v>1United States</v>
      </c>
      <c r="B228" t="s">
        <v>355</v>
      </c>
      <c r="C228" t="s">
        <v>395</v>
      </c>
      <c r="D228" t="str">
        <f t="shared" si="11"/>
        <v>USA-KY</v>
      </c>
      <c r="E228" t="str">
        <f t="shared" si="13"/>
        <v>USA-AA,USA-AE,USA-AK,USA-AL,USA-AP,USA-AR,USA-AS,USA-AZ,USA-CA,USA-CO,USA-CT,USA-DC,USA-DE,USA-FL,USA-GA,USA-GU,USA-HI,USA-IA,USA-ID,USA-IL,USA-IN,USA-KS,USA-KY</v>
      </c>
      <c r="G228" t="s">
        <v>985</v>
      </c>
      <c r="H228" t="s">
        <v>768</v>
      </c>
    </row>
    <row r="229" spans="1:8" x14ac:dyDescent="0.25">
      <c r="A229" t="str">
        <f t="shared" si="12"/>
        <v>1United States</v>
      </c>
      <c r="B229" t="s">
        <v>355</v>
      </c>
      <c r="C229" t="s">
        <v>397</v>
      </c>
      <c r="D229" t="str">
        <f t="shared" si="11"/>
        <v>USA-LA</v>
      </c>
      <c r="E229" t="str">
        <f t="shared" si="13"/>
        <v>USA-AA,USA-AE,USA-AK,USA-AL,USA-AP,USA-AR,USA-AS,USA-AZ,USA-CA,USA-CO,USA-CT,USA-DC,USA-DE,USA-FL,USA-GA,USA-GU,USA-HI,USA-IA,USA-ID,USA-IL,USA-IN,USA-KS,USA-KY,USA-LA</v>
      </c>
      <c r="G229" t="s">
        <v>986</v>
      </c>
      <c r="H229" t="s">
        <v>759</v>
      </c>
    </row>
    <row r="230" spans="1:8" x14ac:dyDescent="0.25">
      <c r="A230" t="str">
        <f t="shared" si="12"/>
        <v>1United States</v>
      </c>
      <c r="B230" t="s">
        <v>355</v>
      </c>
      <c r="C230" t="s">
        <v>25</v>
      </c>
      <c r="D230" t="str">
        <f t="shared" si="11"/>
        <v>USA-MA</v>
      </c>
      <c r="E230" t="str">
        <f t="shared" si="13"/>
        <v>USA-AA,USA-AE,USA-AK,USA-AL,USA-AP,USA-AR,USA-AS,USA-AZ,USA-CA,USA-CO,USA-CT,USA-DC,USA-DE,USA-FL,USA-GA,USA-GU,USA-HI,USA-IA,USA-ID,USA-IL,USA-IN,USA-KS,USA-KY,USA-LA,USA-MA</v>
      </c>
      <c r="G230" t="s">
        <v>446</v>
      </c>
      <c r="H230" t="s">
        <v>768</v>
      </c>
    </row>
    <row r="231" spans="1:8" x14ac:dyDescent="0.25">
      <c r="A231" t="str">
        <f t="shared" si="12"/>
        <v>1United States</v>
      </c>
      <c r="B231" t="s">
        <v>355</v>
      </c>
      <c r="C231" t="s">
        <v>400</v>
      </c>
      <c r="D231" t="str">
        <f t="shared" si="11"/>
        <v>USA-MD</v>
      </c>
      <c r="E231" t="str">
        <f t="shared" si="13"/>
        <v>USA-AA,USA-AE,USA-AK,USA-AL,USA-AP,USA-AR,USA-AS,USA-AZ,USA-CA,USA-CO,USA-CT,USA-DC,USA-DE,USA-FL,USA-GA,USA-GU,USA-HI,USA-IA,USA-ID,USA-IL,USA-IN,USA-KS,USA-KY,USA-LA,USA-MA,USA-MD</v>
      </c>
      <c r="G231" t="s">
        <v>987</v>
      </c>
      <c r="H231" t="s">
        <v>790</v>
      </c>
    </row>
    <row r="232" spans="1:8" x14ac:dyDescent="0.25">
      <c r="A232" t="str">
        <f t="shared" si="12"/>
        <v>1United States</v>
      </c>
      <c r="B232" t="s">
        <v>355</v>
      </c>
      <c r="C232" t="s">
        <v>267</v>
      </c>
      <c r="D232" t="str">
        <f t="shared" si="11"/>
        <v>USA-ME</v>
      </c>
      <c r="E232" t="str">
        <f t="shared" si="13"/>
        <v>USA-AA,USA-AE,USA-AK,USA-AL,USA-AP,USA-AR,USA-AS,USA-AZ,USA-CA,USA-CO,USA-CT,USA-DC,USA-DE,USA-FL,USA-GA,USA-GU,USA-HI,USA-IA,USA-ID,USA-IL,USA-IN,USA-KS,USA-KY,USA-LA,USA-MA,USA-MD,USA-ME</v>
      </c>
      <c r="G232" t="s">
        <v>988</v>
      </c>
      <c r="H232" t="s">
        <v>777</v>
      </c>
    </row>
    <row r="233" spans="1:8" x14ac:dyDescent="0.25">
      <c r="A233" t="str">
        <f t="shared" si="12"/>
        <v>1United States</v>
      </c>
      <c r="B233" t="s">
        <v>355</v>
      </c>
      <c r="C233" t="s">
        <v>403</v>
      </c>
      <c r="D233" t="str">
        <f t="shared" si="11"/>
        <v>USA-MI</v>
      </c>
      <c r="E233" t="str">
        <f t="shared" si="13"/>
        <v>USA-AA,USA-AE,USA-AK,USA-AL,USA-AP,USA-AR,USA-AS,USA-AZ,USA-CA,USA-CO,USA-CT,USA-DC,USA-DE,USA-FL,USA-GA,USA-GU,USA-HI,USA-IA,USA-ID,USA-IL,USA-IN,USA-KS,USA-KY,USA-LA,USA-MA,USA-MD,USA-ME,USA-MI</v>
      </c>
      <c r="G233" t="s">
        <v>989</v>
      </c>
      <c r="H233" t="s">
        <v>763</v>
      </c>
    </row>
    <row r="234" spans="1:8" x14ac:dyDescent="0.25">
      <c r="A234" t="str">
        <f t="shared" si="12"/>
        <v>1United States</v>
      </c>
      <c r="B234" t="s">
        <v>355</v>
      </c>
      <c r="C234" t="s">
        <v>160</v>
      </c>
      <c r="D234" t="str">
        <f t="shared" si="11"/>
        <v>USA-MN</v>
      </c>
      <c r="E234" t="str">
        <f t="shared" si="13"/>
        <v>USA-AA,USA-AE,USA-AK,USA-AL,USA-AP,USA-AR,USA-AS,USA-AZ,USA-CA,USA-CO,USA-CT,USA-DC,USA-DE,USA-FL,USA-GA,USA-GU,USA-HI,USA-IA,USA-ID,USA-IL,USA-IN,USA-KS,USA-KY,USA-LA,USA-MA,USA-MD,USA-ME,USA-MI,USA-MN</v>
      </c>
      <c r="G234" t="s">
        <v>990</v>
      </c>
      <c r="H234" t="s">
        <v>763</v>
      </c>
    </row>
    <row r="235" spans="1:8" x14ac:dyDescent="0.25">
      <c r="A235" t="str">
        <f t="shared" si="12"/>
        <v>1United States</v>
      </c>
      <c r="B235" t="s">
        <v>355</v>
      </c>
      <c r="C235" t="s">
        <v>269</v>
      </c>
      <c r="D235" t="str">
        <f t="shared" si="11"/>
        <v>USA-MO</v>
      </c>
      <c r="E235" t="str">
        <f t="shared" si="13"/>
        <v>USA-AA,USA-AE,USA-AK,USA-AL,USA-AP,USA-AR,USA-AS,USA-AZ,USA-CA,USA-CO,USA-CT,USA-DC,USA-DE,USA-FL,USA-GA,USA-GU,USA-HI,USA-IA,USA-ID,USA-IL,USA-IN,USA-KS,USA-KY,USA-LA,USA-MA,USA-MD,USA-ME,USA-MI,USA-MN,USA-MO</v>
      </c>
    </row>
    <row r="236" spans="1:8" x14ac:dyDescent="0.25">
      <c r="A236" t="str">
        <f t="shared" si="12"/>
        <v>1United States</v>
      </c>
      <c r="B236" t="s">
        <v>355</v>
      </c>
      <c r="C236" t="s">
        <v>157</v>
      </c>
      <c r="D236" t="str">
        <f t="shared" si="11"/>
        <v>USA-MP</v>
      </c>
      <c r="E236" t="str">
        <f t="shared" si="13"/>
        <v>USA-AA,USA-AE,USA-AK,USA-AL,USA-AP,USA-AR,USA-AS,USA-AZ,USA-CA,USA-CO,USA-CT,USA-DC,USA-DE,USA-FL,USA-GA,USA-GU,USA-HI,USA-IA,USA-ID,USA-IL,USA-IN,USA-KS,USA-KY,USA-LA,USA-MA,USA-MD,USA-ME,USA-MI,USA-MN,USA-MO,USA-MP</v>
      </c>
    </row>
    <row r="237" spans="1:8" x14ac:dyDescent="0.25">
      <c r="A237" t="str">
        <f t="shared" si="12"/>
        <v>1United States</v>
      </c>
      <c r="B237" t="s">
        <v>355</v>
      </c>
      <c r="C237" t="s">
        <v>29</v>
      </c>
      <c r="D237" t="str">
        <f t="shared" si="11"/>
        <v>USA-MS</v>
      </c>
      <c r="E237" t="str">
        <f t="shared" si="13"/>
        <v>USA-AA,USA-AE,USA-AK,USA-AL,USA-AP,USA-AR,USA-AS,USA-AZ,USA-CA,USA-CO,USA-CT,USA-DC,USA-DE,USA-FL,USA-GA,USA-GU,USA-HI,USA-IA,USA-ID,USA-IL,USA-IN,USA-KS,USA-KY,USA-LA,USA-MA,USA-MD,USA-ME,USA-MI,USA-MN,USA-MO,USA-MP,USA-MS</v>
      </c>
    </row>
    <row r="238" spans="1:8" x14ac:dyDescent="0.25">
      <c r="A238" t="str">
        <f t="shared" si="12"/>
        <v>1United States</v>
      </c>
      <c r="B238" t="s">
        <v>355</v>
      </c>
      <c r="C238" t="s">
        <v>27</v>
      </c>
      <c r="D238" t="str">
        <f t="shared" si="11"/>
        <v>USA-MT</v>
      </c>
      <c r="E238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</v>
      </c>
    </row>
    <row r="239" spans="1:8" x14ac:dyDescent="0.25">
      <c r="A239" t="str">
        <f t="shared" si="12"/>
        <v>1United States</v>
      </c>
      <c r="B239" t="s">
        <v>355</v>
      </c>
      <c r="C239" t="s">
        <v>421</v>
      </c>
      <c r="D239" t="str">
        <f t="shared" si="11"/>
        <v>USA-NC</v>
      </c>
      <c r="E239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</v>
      </c>
    </row>
    <row r="240" spans="1:8" x14ac:dyDescent="0.25">
      <c r="A240" t="str">
        <f t="shared" si="12"/>
        <v>1United States</v>
      </c>
      <c r="B240" t="s">
        <v>355</v>
      </c>
      <c r="C240" t="s">
        <v>423</v>
      </c>
      <c r="D240" t="str">
        <f t="shared" si="11"/>
        <v>USA-ND</v>
      </c>
      <c r="E240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</v>
      </c>
    </row>
    <row r="241" spans="1:5" x14ac:dyDescent="0.25">
      <c r="A241" t="str">
        <f t="shared" si="12"/>
        <v>1United States</v>
      </c>
      <c r="B241" t="s">
        <v>355</v>
      </c>
      <c r="C241" t="s">
        <v>409</v>
      </c>
      <c r="D241" t="str">
        <f t="shared" si="11"/>
        <v>USA-NE</v>
      </c>
      <c r="E241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</v>
      </c>
    </row>
    <row r="242" spans="1:5" x14ac:dyDescent="0.25">
      <c r="A242" t="str">
        <f t="shared" si="12"/>
        <v>1United States</v>
      </c>
      <c r="B242" t="s">
        <v>355</v>
      </c>
      <c r="C242" t="s">
        <v>413</v>
      </c>
      <c r="D242" t="str">
        <f t="shared" si="11"/>
        <v>USA-NH</v>
      </c>
      <c r="E242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</v>
      </c>
    </row>
    <row r="243" spans="1:5" x14ac:dyDescent="0.25">
      <c r="A243" t="str">
        <f t="shared" si="12"/>
        <v>1United States</v>
      </c>
      <c r="B243" t="s">
        <v>355</v>
      </c>
      <c r="C243" t="s">
        <v>415</v>
      </c>
      <c r="D243" t="str">
        <f t="shared" si="11"/>
        <v>USA-NJ</v>
      </c>
      <c r="E243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</v>
      </c>
    </row>
    <row r="244" spans="1:5" x14ac:dyDescent="0.25">
      <c r="A244" t="str">
        <f t="shared" si="12"/>
        <v>1United States</v>
      </c>
      <c r="B244" t="s">
        <v>355</v>
      </c>
      <c r="C244" t="s">
        <v>417</v>
      </c>
      <c r="D244" t="str">
        <f t="shared" si="11"/>
        <v>USA-NM</v>
      </c>
      <c r="E244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</v>
      </c>
    </row>
    <row r="245" spans="1:5" x14ac:dyDescent="0.25">
      <c r="A245" t="str">
        <f t="shared" si="12"/>
        <v>1United States</v>
      </c>
      <c r="B245" t="s">
        <v>355</v>
      </c>
      <c r="C245" t="s">
        <v>411</v>
      </c>
      <c r="D245" t="str">
        <f t="shared" si="11"/>
        <v>USA-NV</v>
      </c>
      <c r="E245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</v>
      </c>
    </row>
    <row r="246" spans="1:5" x14ac:dyDescent="0.25">
      <c r="A246" t="str">
        <f t="shared" si="12"/>
        <v>1United States</v>
      </c>
      <c r="B246" t="s">
        <v>355</v>
      </c>
      <c r="C246" t="s">
        <v>419</v>
      </c>
      <c r="D246" t="str">
        <f t="shared" si="11"/>
        <v>USA-NY</v>
      </c>
      <c r="E246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</v>
      </c>
    </row>
    <row r="247" spans="1:5" x14ac:dyDescent="0.25">
      <c r="A247" t="str">
        <f t="shared" si="12"/>
        <v>1United States</v>
      </c>
      <c r="B247" t="s">
        <v>355</v>
      </c>
      <c r="C247" t="s">
        <v>426</v>
      </c>
      <c r="D247" t="str">
        <f t="shared" si="11"/>
        <v>USA-OH</v>
      </c>
      <c r="E247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</v>
      </c>
    </row>
    <row r="248" spans="1:5" x14ac:dyDescent="0.25">
      <c r="A248" t="str">
        <f t="shared" si="12"/>
        <v>1United States</v>
      </c>
      <c r="B248" t="s">
        <v>355</v>
      </c>
      <c r="C248" t="s">
        <v>428</v>
      </c>
      <c r="D248" t="str">
        <f t="shared" si="11"/>
        <v>USA-OK</v>
      </c>
      <c r="E248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</v>
      </c>
    </row>
    <row r="249" spans="1:5" x14ac:dyDescent="0.25">
      <c r="A249" t="str">
        <f t="shared" si="12"/>
        <v>1United States</v>
      </c>
      <c r="B249" t="s">
        <v>355</v>
      </c>
      <c r="C249" t="s">
        <v>167</v>
      </c>
      <c r="D249" t="str">
        <f t="shared" si="11"/>
        <v>USA-OR</v>
      </c>
      <c r="E249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</v>
      </c>
    </row>
    <row r="250" spans="1:5" x14ac:dyDescent="0.25">
      <c r="A250" t="str">
        <f t="shared" si="12"/>
        <v>1United States</v>
      </c>
      <c r="B250" t="s">
        <v>355</v>
      </c>
      <c r="C250" t="s">
        <v>33</v>
      </c>
      <c r="D250" t="str">
        <f t="shared" si="11"/>
        <v>USA-PA</v>
      </c>
      <c r="E250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</v>
      </c>
    </row>
    <row r="251" spans="1:5" x14ac:dyDescent="0.25">
      <c r="A251" t="str">
        <f t="shared" si="12"/>
        <v>1United States</v>
      </c>
      <c r="B251" t="s">
        <v>355</v>
      </c>
      <c r="C251" t="s">
        <v>37</v>
      </c>
      <c r="D251" t="str">
        <f t="shared" si="11"/>
        <v>USA-PR</v>
      </c>
      <c r="E251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</v>
      </c>
    </row>
    <row r="252" spans="1:5" x14ac:dyDescent="0.25">
      <c r="A252" t="str">
        <f t="shared" si="12"/>
        <v>1United States</v>
      </c>
      <c r="B252" t="s">
        <v>355</v>
      </c>
      <c r="C252" t="s">
        <v>433</v>
      </c>
      <c r="D252" t="str">
        <f t="shared" si="11"/>
        <v>USA-RI</v>
      </c>
      <c r="E252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</v>
      </c>
    </row>
    <row r="253" spans="1:5" x14ac:dyDescent="0.25">
      <c r="A253" t="str">
        <f t="shared" si="12"/>
        <v>1United States</v>
      </c>
      <c r="B253" t="s">
        <v>355</v>
      </c>
      <c r="C253" t="s">
        <v>53</v>
      </c>
      <c r="D253" t="str">
        <f t="shared" si="11"/>
        <v>USA-SC</v>
      </c>
      <c r="E253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</v>
      </c>
    </row>
    <row r="254" spans="1:5" x14ac:dyDescent="0.25">
      <c r="A254" t="str">
        <f t="shared" si="12"/>
        <v>1United States</v>
      </c>
      <c r="B254" t="s">
        <v>355</v>
      </c>
      <c r="C254" t="s">
        <v>436</v>
      </c>
      <c r="D254" t="str">
        <f t="shared" si="11"/>
        <v>USA-SD</v>
      </c>
      <c r="E254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</v>
      </c>
    </row>
    <row r="255" spans="1:5" x14ac:dyDescent="0.25">
      <c r="A255" t="str">
        <f t="shared" si="12"/>
        <v>1United States</v>
      </c>
      <c r="B255" t="s">
        <v>355</v>
      </c>
      <c r="C255" t="s">
        <v>174</v>
      </c>
      <c r="D255" t="str">
        <f t="shared" si="11"/>
        <v>USA-TN</v>
      </c>
      <c r="E255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,USA-TN</v>
      </c>
    </row>
    <row r="256" spans="1:5" x14ac:dyDescent="0.25">
      <c r="A256" t="str">
        <f t="shared" si="12"/>
        <v>1United States</v>
      </c>
      <c r="B256" t="s">
        <v>355</v>
      </c>
      <c r="C256" t="s">
        <v>439</v>
      </c>
      <c r="D256" t="str">
        <f t="shared" si="11"/>
        <v>USA-TX</v>
      </c>
      <c r="E256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,USA-TN,USA-TX</v>
      </c>
    </row>
    <row r="257" spans="1:5" x14ac:dyDescent="0.25">
      <c r="A257" t="str">
        <f t="shared" si="12"/>
        <v>1United States</v>
      </c>
      <c r="B257" t="s">
        <v>355</v>
      </c>
      <c r="C257" t="s">
        <v>441</v>
      </c>
      <c r="D257" t="str">
        <f t="shared" si="11"/>
        <v>USA-UM</v>
      </c>
      <c r="E257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,USA-TN,USA-TX,USA-UM</v>
      </c>
    </row>
    <row r="258" spans="1:5" x14ac:dyDescent="0.25">
      <c r="A258" t="str">
        <f t="shared" si="12"/>
        <v>1United States</v>
      </c>
      <c r="B258" t="s">
        <v>355</v>
      </c>
      <c r="C258" t="s">
        <v>443</v>
      </c>
      <c r="D258" t="str">
        <f t="shared" si="11"/>
        <v>USA-UT</v>
      </c>
      <c r="E258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,USA-TN,USA-TX,USA-UM,USA-UT</v>
      </c>
    </row>
    <row r="259" spans="1:5" x14ac:dyDescent="0.25">
      <c r="A259" t="str">
        <f t="shared" si="12"/>
        <v>1United States</v>
      </c>
      <c r="B259" t="s">
        <v>355</v>
      </c>
      <c r="C259" t="s">
        <v>449</v>
      </c>
      <c r="D259" t="str">
        <f t="shared" si="11"/>
        <v>USA-VA</v>
      </c>
      <c r="E259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,USA-TN,USA-TX,USA-UM,USA-UT,USA-VA</v>
      </c>
    </row>
    <row r="260" spans="1:5" x14ac:dyDescent="0.25">
      <c r="A260" t="str">
        <f t="shared" si="12"/>
        <v>1United States</v>
      </c>
      <c r="B260" t="s">
        <v>355</v>
      </c>
      <c r="C260" t="s">
        <v>447</v>
      </c>
      <c r="D260" t="str">
        <f t="shared" si="11"/>
        <v>USA-VI</v>
      </c>
      <c r="E260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,USA-TN,USA-TX,USA-UM,USA-UT,USA-VA,USA-VI</v>
      </c>
    </row>
    <row r="261" spans="1:5" x14ac:dyDescent="0.25">
      <c r="A261" t="str">
        <f t="shared" si="12"/>
        <v>1United States</v>
      </c>
      <c r="B261" t="s">
        <v>355</v>
      </c>
      <c r="C261" t="s">
        <v>445</v>
      </c>
      <c r="D261" t="str">
        <f t="shared" ref="D261:D265" si="14">VLOOKUP(B261,$G$5:$H$234,2,FALSE)&amp;"-"&amp;C261</f>
        <v>USA-VT</v>
      </c>
      <c r="E261" t="str">
        <f t="shared" si="13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,USA-TN,USA-TX,USA-UM,USA-UT,USA-VA,USA-VI,USA-VT</v>
      </c>
    </row>
    <row r="262" spans="1:5" x14ac:dyDescent="0.25">
      <c r="A262" t="str">
        <f t="shared" ref="A262:A265" si="15">IF(B262=B263,1,0)&amp;B262</f>
        <v>1United States</v>
      </c>
      <c r="B262" t="s">
        <v>355</v>
      </c>
      <c r="C262" t="s">
        <v>451</v>
      </c>
      <c r="D262" t="str">
        <f t="shared" si="14"/>
        <v>USA-WA</v>
      </c>
      <c r="E262" t="str">
        <f t="shared" ref="E262:E265" si="16">IF(B262=B261,E261&amp;","&amp;D262,D262)</f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,USA-TN,USA-TX,USA-UM,USA-UT,USA-VA,USA-VI,USA-VT,USA-WA</v>
      </c>
    </row>
    <row r="263" spans="1:5" x14ac:dyDescent="0.25">
      <c r="A263" t="str">
        <f t="shared" si="15"/>
        <v>1United States</v>
      </c>
      <c r="B263" t="s">
        <v>355</v>
      </c>
      <c r="C263" t="s">
        <v>455</v>
      </c>
      <c r="D263" t="str">
        <f t="shared" si="14"/>
        <v>USA-WI</v>
      </c>
      <c r="E263" t="str">
        <f t="shared" si="16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,USA-TN,USA-TX,USA-UM,USA-UT,USA-VA,USA-VI,USA-VT,USA-WA,USA-WI</v>
      </c>
    </row>
    <row r="264" spans="1:5" x14ac:dyDescent="0.25">
      <c r="A264" t="str">
        <f t="shared" si="15"/>
        <v>1United States</v>
      </c>
      <c r="B264" t="s">
        <v>355</v>
      </c>
      <c r="C264" t="s">
        <v>453</v>
      </c>
      <c r="D264" t="str">
        <f t="shared" si="14"/>
        <v>USA-WV</v>
      </c>
      <c r="E264" t="str">
        <f t="shared" si="16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,USA-TN,USA-TX,USA-UM,USA-UT,USA-VA,USA-VI,USA-VT,USA-WA,USA-WI,USA-WV</v>
      </c>
    </row>
    <row r="265" spans="1:5" x14ac:dyDescent="0.25">
      <c r="A265" t="str">
        <f t="shared" si="15"/>
        <v>0United States</v>
      </c>
      <c r="B265" t="s">
        <v>355</v>
      </c>
      <c r="C265" t="s">
        <v>457</v>
      </c>
      <c r="D265" t="str">
        <f t="shared" si="14"/>
        <v>USA-WY</v>
      </c>
      <c r="E265" t="str">
        <f t="shared" si="16"/>
        <v>USA-AA,USA-AE,USA-AK,USA-AL,USA-AP,USA-AR,USA-AS,USA-AZ,USA-CA,USA-CO,USA-CT,USA-DC,USA-DE,USA-FL,USA-GA,USA-GU,USA-HI,USA-IA,USA-ID,USA-IL,USA-IN,USA-KS,USA-KY,USA-LA,USA-MA,USA-MD,USA-ME,USA-MI,USA-MN,USA-MO,USA-MP,USA-MS,USA-MT,USA-NC,USA-ND,USA-NE,USA-NH,USA-NJ,USA-NM,USA-NV,USA-NY,USA-OH,USA-OK,USA-OR,USA-PA,USA-PR,USA-RI,USA-SC,USA-SD,USA-TN,USA-TX,USA-UM,USA-UT,USA-VA,USA-VI,USA-VT,USA-WA,USA-WI,USA-WV,USA-WY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"/>
  <sheetViews>
    <sheetView tabSelected="1" workbookViewId="0"/>
  </sheetViews>
  <sheetFormatPr defaultRowHeight="15" x14ac:dyDescent="0.25"/>
  <cols>
    <col min="1" max="1" width="18.140625" bestFit="1" customWidth="1"/>
    <col min="2" max="2" width="35.85546875" bestFit="1" customWidth="1"/>
    <col min="3" max="3" width="12.28515625" bestFit="1" customWidth="1"/>
    <col min="4" max="4" width="69.42578125" customWidth="1"/>
    <col min="5" max="5" width="8.85546875" bestFit="1" customWidth="1"/>
  </cols>
  <sheetData>
    <row r="1" spans="1:6" x14ac:dyDescent="0.25">
      <c r="A1" t="s">
        <v>0</v>
      </c>
      <c r="B1" t="s">
        <v>1</v>
      </c>
      <c r="C1" t="s">
        <v>999</v>
      </c>
      <c r="D1" t="s">
        <v>460</v>
      </c>
      <c r="E1" t="s">
        <v>997</v>
      </c>
      <c r="F1" t="s">
        <v>2</v>
      </c>
    </row>
    <row r="2" spans="1:6" x14ac:dyDescent="0.25">
      <c r="A2" t="s">
        <v>3</v>
      </c>
      <c r="B2" t="s">
        <v>4</v>
      </c>
      <c r="C2" t="s">
        <v>5</v>
      </c>
      <c r="D2" t="s">
        <v>496</v>
      </c>
      <c r="F2" t="str">
        <f>IF(E2="",C2,E2)</f>
        <v>AC</v>
      </c>
    </row>
    <row r="3" spans="1:6" x14ac:dyDescent="0.25">
      <c r="A3" t="s">
        <v>3</v>
      </c>
      <c r="B3" t="s">
        <v>6</v>
      </c>
      <c r="C3" t="s">
        <v>7</v>
      </c>
      <c r="D3" t="s">
        <v>497</v>
      </c>
      <c r="F3" t="str">
        <f t="shared" ref="F3:F66" si="0">IF(E3="",C3,E3)</f>
        <v>AL</v>
      </c>
    </row>
    <row r="4" spans="1:6" x14ac:dyDescent="0.25">
      <c r="A4" t="s">
        <v>3</v>
      </c>
      <c r="B4" t="s">
        <v>10</v>
      </c>
      <c r="C4" t="s">
        <v>11</v>
      </c>
      <c r="D4" t="s">
        <v>498</v>
      </c>
      <c r="F4" t="str">
        <f t="shared" si="0"/>
        <v>AM</v>
      </c>
    </row>
    <row r="5" spans="1:6" x14ac:dyDescent="0.25">
      <c r="A5" t="s">
        <v>3</v>
      </c>
      <c r="B5" t="s">
        <v>8</v>
      </c>
      <c r="C5" t="s">
        <v>9</v>
      </c>
      <c r="D5" t="s">
        <v>746</v>
      </c>
      <c r="F5" t="str">
        <f t="shared" si="0"/>
        <v>AP</v>
      </c>
    </row>
    <row r="6" spans="1:6" x14ac:dyDescent="0.25">
      <c r="A6" t="s">
        <v>3</v>
      </c>
      <c r="B6" t="s">
        <v>12</v>
      </c>
      <c r="C6" t="s">
        <v>13</v>
      </c>
      <c r="D6" t="s">
        <v>499</v>
      </c>
      <c r="F6" t="str">
        <f t="shared" si="0"/>
        <v>BA</v>
      </c>
    </row>
    <row r="7" spans="1:6" x14ac:dyDescent="0.25">
      <c r="A7" t="s">
        <v>3</v>
      </c>
      <c r="B7" t="s">
        <v>14</v>
      </c>
      <c r="C7" t="s">
        <v>15</v>
      </c>
      <c r="D7" t="s">
        <v>747</v>
      </c>
      <c r="F7" t="str">
        <f t="shared" si="0"/>
        <v>CE</v>
      </c>
    </row>
    <row r="8" spans="1:6" x14ac:dyDescent="0.25">
      <c r="A8" t="s">
        <v>3</v>
      </c>
      <c r="B8" t="s">
        <v>16</v>
      </c>
      <c r="C8" t="s">
        <v>17</v>
      </c>
      <c r="D8" t="s">
        <v>500</v>
      </c>
      <c r="F8" t="str">
        <f t="shared" si="0"/>
        <v>DF</v>
      </c>
    </row>
    <row r="9" spans="1:6" x14ac:dyDescent="0.25">
      <c r="A9" t="s">
        <v>3</v>
      </c>
      <c r="B9" t="s">
        <v>18</v>
      </c>
      <c r="C9" t="s">
        <v>19</v>
      </c>
      <c r="D9" t="s">
        <v>748</v>
      </c>
      <c r="F9" t="str">
        <f t="shared" si="0"/>
        <v>ES</v>
      </c>
    </row>
    <row r="10" spans="1:6" x14ac:dyDescent="0.25">
      <c r="A10" t="s">
        <v>3</v>
      </c>
      <c r="B10" t="s">
        <v>20</v>
      </c>
      <c r="C10" t="s">
        <v>21</v>
      </c>
      <c r="D10" t="s">
        <v>501</v>
      </c>
      <c r="F10" t="str">
        <f t="shared" si="0"/>
        <v>FN</v>
      </c>
    </row>
    <row r="11" spans="1:6" x14ac:dyDescent="0.25">
      <c r="A11" t="s">
        <v>3</v>
      </c>
      <c r="B11" t="s">
        <v>22</v>
      </c>
      <c r="C11" t="s">
        <v>23</v>
      </c>
      <c r="D11" t="s">
        <v>749</v>
      </c>
      <c r="F11" t="str">
        <f t="shared" si="0"/>
        <v>GO</v>
      </c>
    </row>
    <row r="12" spans="1:6" x14ac:dyDescent="0.25">
      <c r="A12" t="s">
        <v>3</v>
      </c>
      <c r="B12" t="s">
        <v>24</v>
      </c>
      <c r="C12" t="s">
        <v>25</v>
      </c>
      <c r="D12" t="s">
        <v>750</v>
      </c>
      <c r="F12" t="str">
        <f t="shared" si="0"/>
        <v>MA</v>
      </c>
    </row>
    <row r="13" spans="1:6" x14ac:dyDescent="0.25">
      <c r="A13" t="s">
        <v>3</v>
      </c>
      <c r="B13" t="s">
        <v>30</v>
      </c>
      <c r="C13" t="s">
        <v>31</v>
      </c>
      <c r="D13" t="s">
        <v>502</v>
      </c>
      <c r="F13" t="str">
        <f t="shared" si="0"/>
        <v>MG</v>
      </c>
    </row>
    <row r="14" spans="1:6" x14ac:dyDescent="0.25">
      <c r="A14" t="s">
        <v>3</v>
      </c>
      <c r="B14" t="s">
        <v>28</v>
      </c>
      <c r="C14" t="s">
        <v>29</v>
      </c>
      <c r="D14" t="s">
        <v>503</v>
      </c>
      <c r="F14" t="str">
        <f t="shared" si="0"/>
        <v>MS</v>
      </c>
    </row>
    <row r="15" spans="1:6" x14ac:dyDescent="0.25">
      <c r="A15" t="s">
        <v>3</v>
      </c>
      <c r="B15" t="s">
        <v>26</v>
      </c>
      <c r="C15" t="s">
        <v>27</v>
      </c>
      <c r="D15" t="s">
        <v>504</v>
      </c>
      <c r="F15" t="str">
        <f t="shared" si="0"/>
        <v>MT</v>
      </c>
    </row>
    <row r="16" spans="1:6" x14ac:dyDescent="0.25">
      <c r="A16" t="s">
        <v>3</v>
      </c>
      <c r="B16" t="s">
        <v>32</v>
      </c>
      <c r="C16" t="s">
        <v>33</v>
      </c>
      <c r="D16" t="s">
        <v>753</v>
      </c>
      <c r="F16" t="str">
        <f t="shared" si="0"/>
        <v>PA</v>
      </c>
    </row>
    <row r="17" spans="1:6" x14ac:dyDescent="0.25">
      <c r="A17" t="s">
        <v>3</v>
      </c>
      <c r="B17" t="s">
        <v>34</v>
      </c>
      <c r="C17" t="s">
        <v>35</v>
      </c>
      <c r="D17" t="s">
        <v>752</v>
      </c>
      <c r="F17" t="str">
        <f t="shared" si="0"/>
        <v>PB</v>
      </c>
    </row>
    <row r="18" spans="1:6" x14ac:dyDescent="0.25">
      <c r="A18" t="s">
        <v>3</v>
      </c>
      <c r="B18" t="s">
        <v>38</v>
      </c>
      <c r="C18" t="s">
        <v>39</v>
      </c>
      <c r="D18" t="s">
        <v>505</v>
      </c>
      <c r="F18" t="str">
        <f t="shared" si="0"/>
        <v>PE</v>
      </c>
    </row>
    <row r="19" spans="1:6" x14ac:dyDescent="0.25">
      <c r="A19" t="s">
        <v>3</v>
      </c>
      <c r="B19" t="s">
        <v>40</v>
      </c>
      <c r="C19" t="s">
        <v>41</v>
      </c>
      <c r="D19" t="s">
        <v>754</v>
      </c>
      <c r="F19" t="str">
        <f t="shared" si="0"/>
        <v>PI</v>
      </c>
    </row>
    <row r="20" spans="1:6" x14ac:dyDescent="0.25">
      <c r="A20" t="s">
        <v>3</v>
      </c>
      <c r="B20" t="s">
        <v>36</v>
      </c>
      <c r="C20" t="s">
        <v>37</v>
      </c>
      <c r="D20" t="s">
        <v>751</v>
      </c>
      <c r="F20" t="str">
        <f t="shared" si="0"/>
        <v>PR</v>
      </c>
    </row>
    <row r="21" spans="1:6" x14ac:dyDescent="0.25">
      <c r="A21" t="s">
        <v>3</v>
      </c>
      <c r="B21" t="s">
        <v>42</v>
      </c>
      <c r="C21" t="s">
        <v>43</v>
      </c>
      <c r="D21" t="s">
        <v>506</v>
      </c>
      <c r="F21" t="str">
        <f t="shared" si="0"/>
        <v>RJ</v>
      </c>
    </row>
    <row r="22" spans="1:6" x14ac:dyDescent="0.25">
      <c r="A22" t="s">
        <v>3</v>
      </c>
      <c r="B22" t="s">
        <v>44</v>
      </c>
      <c r="C22" t="s">
        <v>45</v>
      </c>
      <c r="D22" t="s">
        <v>507</v>
      </c>
      <c r="F22" t="str">
        <f t="shared" si="0"/>
        <v>RN</v>
      </c>
    </row>
    <row r="23" spans="1:6" x14ac:dyDescent="0.25">
      <c r="A23" t="s">
        <v>3</v>
      </c>
      <c r="B23" t="s">
        <v>48</v>
      </c>
      <c r="C23" t="s">
        <v>49</v>
      </c>
      <c r="D23" t="s">
        <v>755</v>
      </c>
      <c r="F23" t="str">
        <f t="shared" si="0"/>
        <v>RO</v>
      </c>
    </row>
    <row r="24" spans="1:6" x14ac:dyDescent="0.25">
      <c r="A24" t="s">
        <v>3</v>
      </c>
      <c r="B24" t="s">
        <v>50</v>
      </c>
      <c r="C24" t="s">
        <v>51</v>
      </c>
      <c r="D24" t="s">
        <v>508</v>
      </c>
      <c r="F24" t="str">
        <f t="shared" si="0"/>
        <v>RR</v>
      </c>
    </row>
    <row r="25" spans="1:6" x14ac:dyDescent="0.25">
      <c r="A25" t="s">
        <v>3</v>
      </c>
      <c r="B25" t="s">
        <v>46</v>
      </c>
      <c r="C25" t="s">
        <v>47</v>
      </c>
      <c r="D25" t="s">
        <v>509</v>
      </c>
      <c r="F25" t="str">
        <f t="shared" si="0"/>
        <v>RS</v>
      </c>
    </row>
    <row r="26" spans="1:6" x14ac:dyDescent="0.25">
      <c r="A26" t="s">
        <v>3</v>
      </c>
      <c r="B26" t="s">
        <v>52</v>
      </c>
      <c r="C26" t="s">
        <v>53</v>
      </c>
      <c r="D26" t="s">
        <v>510</v>
      </c>
      <c r="F26" t="str">
        <f t="shared" si="0"/>
        <v>SC</v>
      </c>
    </row>
    <row r="27" spans="1:6" x14ac:dyDescent="0.25">
      <c r="A27" t="s">
        <v>3</v>
      </c>
      <c r="B27" t="s">
        <v>56</v>
      </c>
      <c r="C27" t="s">
        <v>57</v>
      </c>
      <c r="D27" t="s">
        <v>511</v>
      </c>
      <c r="F27" t="str">
        <f t="shared" si="0"/>
        <v>SE</v>
      </c>
    </row>
    <row r="28" spans="1:6" x14ac:dyDescent="0.25">
      <c r="A28" t="s">
        <v>3</v>
      </c>
      <c r="B28" t="s">
        <v>54</v>
      </c>
      <c r="C28" t="s">
        <v>55</v>
      </c>
      <c r="D28" t="s">
        <v>756</v>
      </c>
      <c r="F28" t="str">
        <f t="shared" si="0"/>
        <v>SP</v>
      </c>
    </row>
    <row r="29" spans="1:6" x14ac:dyDescent="0.25">
      <c r="A29" t="s">
        <v>3</v>
      </c>
      <c r="B29" t="s">
        <v>58</v>
      </c>
      <c r="C29" t="s">
        <v>59</v>
      </c>
      <c r="D29" t="s">
        <v>512</v>
      </c>
      <c r="F29" t="str">
        <f t="shared" si="0"/>
        <v>TO</v>
      </c>
    </row>
    <row r="30" spans="1:6" x14ac:dyDescent="0.25">
      <c r="A30" t="s">
        <v>60</v>
      </c>
      <c r="B30" t="s">
        <v>61</v>
      </c>
      <c r="C30" t="s">
        <v>62</v>
      </c>
      <c r="D30" t="s">
        <v>513</v>
      </c>
      <c r="F30" t="str">
        <f t="shared" si="0"/>
        <v>AB</v>
      </c>
    </row>
    <row r="31" spans="1:6" x14ac:dyDescent="0.25">
      <c r="A31" t="s">
        <v>60</v>
      </c>
      <c r="B31" t="s">
        <v>63</v>
      </c>
      <c r="C31" t="s">
        <v>64</v>
      </c>
      <c r="D31" t="s">
        <v>514</v>
      </c>
      <c r="F31" t="str">
        <f t="shared" si="0"/>
        <v>BC</v>
      </c>
    </row>
    <row r="32" spans="1:6" x14ac:dyDescent="0.25">
      <c r="A32" t="s">
        <v>60</v>
      </c>
      <c r="B32" t="s">
        <v>65</v>
      </c>
      <c r="C32" t="s">
        <v>66</v>
      </c>
      <c r="D32" t="s">
        <v>515</v>
      </c>
      <c r="F32" t="str">
        <f t="shared" si="0"/>
        <v>MB</v>
      </c>
    </row>
    <row r="33" spans="1:6" x14ac:dyDescent="0.25">
      <c r="A33" t="s">
        <v>60</v>
      </c>
      <c r="B33" t="s">
        <v>67</v>
      </c>
      <c r="C33" t="s">
        <v>68</v>
      </c>
      <c r="D33" t="s">
        <v>516</v>
      </c>
      <c r="F33" t="str">
        <f t="shared" si="0"/>
        <v>NB</v>
      </c>
    </row>
    <row r="34" spans="1:6" x14ac:dyDescent="0.25">
      <c r="A34" t="s">
        <v>60</v>
      </c>
      <c r="B34" t="s">
        <v>69</v>
      </c>
      <c r="C34" t="s">
        <v>70</v>
      </c>
      <c r="D34" t="s">
        <v>517</v>
      </c>
      <c r="F34" t="str">
        <f t="shared" si="0"/>
        <v>NL</v>
      </c>
    </row>
    <row r="35" spans="1:6" x14ac:dyDescent="0.25">
      <c r="A35" t="s">
        <v>60</v>
      </c>
      <c r="B35" t="s">
        <v>73</v>
      </c>
      <c r="C35" t="s">
        <v>74</v>
      </c>
      <c r="D35" t="s">
        <v>518</v>
      </c>
      <c r="F35" t="str">
        <f t="shared" si="0"/>
        <v>NS</v>
      </c>
    </row>
    <row r="36" spans="1:6" x14ac:dyDescent="0.25">
      <c r="A36" t="s">
        <v>60</v>
      </c>
      <c r="B36" t="s">
        <v>71</v>
      </c>
      <c r="C36" t="s">
        <v>72</v>
      </c>
      <c r="D36" t="s">
        <v>519</v>
      </c>
      <c r="F36" t="str">
        <f t="shared" si="0"/>
        <v>NT</v>
      </c>
    </row>
    <row r="37" spans="1:6" x14ac:dyDescent="0.25">
      <c r="A37" t="s">
        <v>60</v>
      </c>
      <c r="B37" t="s">
        <v>75</v>
      </c>
      <c r="C37" t="s">
        <v>76</v>
      </c>
      <c r="D37" t="s">
        <v>520</v>
      </c>
      <c r="F37" t="str">
        <f t="shared" si="0"/>
        <v>NU</v>
      </c>
    </row>
    <row r="38" spans="1:6" x14ac:dyDescent="0.25">
      <c r="A38" t="s">
        <v>60</v>
      </c>
      <c r="B38" t="s">
        <v>77</v>
      </c>
      <c r="C38" t="s">
        <v>78</v>
      </c>
      <c r="D38" t="s">
        <v>521</v>
      </c>
      <c r="F38" t="str">
        <f t="shared" si="0"/>
        <v>ON</v>
      </c>
    </row>
    <row r="39" spans="1:6" x14ac:dyDescent="0.25">
      <c r="A39" t="s">
        <v>60</v>
      </c>
      <c r="B39" t="s">
        <v>79</v>
      </c>
      <c r="C39" t="s">
        <v>39</v>
      </c>
      <c r="D39" t="s">
        <v>522</v>
      </c>
      <c r="F39" t="str">
        <f t="shared" si="0"/>
        <v>PE</v>
      </c>
    </row>
    <row r="40" spans="1:6" x14ac:dyDescent="0.25">
      <c r="A40" t="s">
        <v>60</v>
      </c>
      <c r="B40" t="s">
        <v>80</v>
      </c>
      <c r="C40" t="s">
        <v>81</v>
      </c>
      <c r="D40" t="s">
        <v>523</v>
      </c>
      <c r="F40" t="str">
        <f t="shared" si="0"/>
        <v>QC</v>
      </c>
    </row>
    <row r="41" spans="1:6" x14ac:dyDescent="0.25">
      <c r="A41" t="s">
        <v>60</v>
      </c>
      <c r="B41" t="s">
        <v>82</v>
      </c>
      <c r="C41" t="s">
        <v>83</v>
      </c>
      <c r="D41" t="s">
        <v>524</v>
      </c>
      <c r="F41" t="str">
        <f t="shared" si="0"/>
        <v>SK</v>
      </c>
    </row>
    <row r="42" spans="1:6" x14ac:dyDescent="0.25">
      <c r="A42" t="s">
        <v>60</v>
      </c>
      <c r="B42" t="s">
        <v>84</v>
      </c>
      <c r="C42" t="s">
        <v>85</v>
      </c>
      <c r="D42" t="s">
        <v>525</v>
      </c>
      <c r="F42" t="str">
        <f t="shared" si="0"/>
        <v>YT</v>
      </c>
    </row>
    <row r="43" spans="1:6" x14ac:dyDescent="0.25">
      <c r="A43" t="s">
        <v>86</v>
      </c>
      <c r="B43" t="s">
        <v>87</v>
      </c>
      <c r="C43" t="s">
        <v>462</v>
      </c>
      <c r="D43" t="s">
        <v>526</v>
      </c>
      <c r="F43" t="str">
        <f t="shared" si="0"/>
        <v>AH</v>
      </c>
    </row>
    <row r="44" spans="1:6" x14ac:dyDescent="0.25">
      <c r="A44" t="s">
        <v>86</v>
      </c>
      <c r="B44" t="s">
        <v>88</v>
      </c>
      <c r="C44" t="s">
        <v>463</v>
      </c>
      <c r="D44" t="s">
        <v>527</v>
      </c>
      <c r="F44" t="str">
        <f t="shared" si="0"/>
        <v>BJ</v>
      </c>
    </row>
    <row r="45" spans="1:6" x14ac:dyDescent="0.25">
      <c r="A45" t="s">
        <v>86</v>
      </c>
      <c r="B45" t="s">
        <v>89</v>
      </c>
      <c r="C45" t="s">
        <v>464</v>
      </c>
      <c r="D45" t="s">
        <v>528</v>
      </c>
      <c r="F45" t="str">
        <f t="shared" si="0"/>
        <v>CQ</v>
      </c>
    </row>
    <row r="46" spans="1:6" x14ac:dyDescent="0.25">
      <c r="A46" t="s">
        <v>86</v>
      </c>
      <c r="B46" t="s">
        <v>90</v>
      </c>
      <c r="C46" t="s">
        <v>465</v>
      </c>
      <c r="D46" t="s">
        <v>529</v>
      </c>
      <c r="F46" t="str">
        <f t="shared" si="0"/>
        <v>FJ</v>
      </c>
    </row>
    <row r="47" spans="1:6" x14ac:dyDescent="0.25">
      <c r="A47" t="s">
        <v>86</v>
      </c>
      <c r="B47" t="s">
        <v>92</v>
      </c>
      <c r="C47" t="s">
        <v>466</v>
      </c>
      <c r="D47" t="s">
        <v>530</v>
      </c>
      <c r="F47" t="str">
        <f t="shared" si="0"/>
        <v>GD</v>
      </c>
    </row>
    <row r="48" spans="1:6" x14ac:dyDescent="0.25">
      <c r="A48" t="s">
        <v>86</v>
      </c>
      <c r="B48" t="s">
        <v>91</v>
      </c>
      <c r="C48" t="s">
        <v>467</v>
      </c>
      <c r="D48" t="s">
        <v>531</v>
      </c>
      <c r="F48" t="str">
        <f t="shared" si="0"/>
        <v>GS</v>
      </c>
    </row>
    <row r="49" spans="1:6" x14ac:dyDescent="0.25">
      <c r="A49" t="s">
        <v>86</v>
      </c>
      <c r="B49" t="s">
        <v>93</v>
      </c>
      <c r="C49" t="s">
        <v>468</v>
      </c>
      <c r="D49" t="s">
        <v>532</v>
      </c>
      <c r="F49" t="str">
        <f t="shared" si="0"/>
        <v>GX</v>
      </c>
    </row>
    <row r="50" spans="1:6" x14ac:dyDescent="0.25">
      <c r="A50" t="s">
        <v>86</v>
      </c>
      <c r="B50" t="s">
        <v>94</v>
      </c>
      <c r="C50" t="s">
        <v>469</v>
      </c>
      <c r="D50" t="s">
        <v>533</v>
      </c>
      <c r="F50" t="str">
        <f t="shared" si="0"/>
        <v>GZ</v>
      </c>
    </row>
    <row r="51" spans="1:6" x14ac:dyDescent="0.25">
      <c r="A51" t="s">
        <v>86</v>
      </c>
      <c r="B51" t="s">
        <v>98</v>
      </c>
      <c r="C51" t="s">
        <v>475</v>
      </c>
      <c r="D51" t="s">
        <v>534</v>
      </c>
      <c r="F51" t="str">
        <f t="shared" si="0"/>
        <v>HA</v>
      </c>
    </row>
    <row r="52" spans="1:6" x14ac:dyDescent="0.25">
      <c r="A52" t="s">
        <v>86</v>
      </c>
      <c r="B52" t="s">
        <v>100</v>
      </c>
      <c r="C52" t="s">
        <v>474</v>
      </c>
      <c r="D52" t="s">
        <v>535</v>
      </c>
      <c r="F52" t="str">
        <f t="shared" si="0"/>
        <v>HB</v>
      </c>
    </row>
    <row r="53" spans="1:6" x14ac:dyDescent="0.25">
      <c r="A53" t="s">
        <v>86</v>
      </c>
      <c r="B53" t="s">
        <v>96</v>
      </c>
      <c r="C53" t="s">
        <v>471</v>
      </c>
      <c r="D53" t="s">
        <v>536</v>
      </c>
      <c r="F53" t="str">
        <f t="shared" si="0"/>
        <v>HE</v>
      </c>
    </row>
    <row r="54" spans="1:6" x14ac:dyDescent="0.25">
      <c r="A54" t="s">
        <v>86</v>
      </c>
      <c r="B54" t="s">
        <v>95</v>
      </c>
      <c r="C54" t="s">
        <v>384</v>
      </c>
      <c r="D54" t="s">
        <v>537</v>
      </c>
      <c r="F54" t="str">
        <f t="shared" si="0"/>
        <v>HI</v>
      </c>
    </row>
    <row r="55" spans="1:6" x14ac:dyDescent="0.25">
      <c r="A55" t="s">
        <v>86</v>
      </c>
      <c r="B55" t="s">
        <v>99</v>
      </c>
      <c r="C55" t="s">
        <v>473</v>
      </c>
      <c r="D55" t="s">
        <v>538</v>
      </c>
      <c r="F55" t="str">
        <f t="shared" si="0"/>
        <v>HK</v>
      </c>
    </row>
    <row r="56" spans="1:6" x14ac:dyDescent="0.25">
      <c r="A56" t="s">
        <v>86</v>
      </c>
      <c r="B56" t="s">
        <v>97</v>
      </c>
      <c r="C56" t="s">
        <v>472</v>
      </c>
      <c r="D56" t="s">
        <v>539</v>
      </c>
      <c r="F56" t="str">
        <f t="shared" si="0"/>
        <v>HL</v>
      </c>
    </row>
    <row r="57" spans="1:6" x14ac:dyDescent="0.25">
      <c r="A57" t="s">
        <v>86</v>
      </c>
      <c r="B57" t="s">
        <v>101</v>
      </c>
      <c r="C57" t="s">
        <v>470</v>
      </c>
      <c r="D57" t="s">
        <v>540</v>
      </c>
      <c r="F57" t="str">
        <f t="shared" si="0"/>
        <v>HN</v>
      </c>
    </row>
    <row r="58" spans="1:6" x14ac:dyDescent="0.25">
      <c r="A58" t="s">
        <v>86</v>
      </c>
      <c r="B58" t="s">
        <v>104</v>
      </c>
      <c r="C58" t="s">
        <v>478</v>
      </c>
      <c r="D58" t="s">
        <v>541</v>
      </c>
      <c r="F58" t="str">
        <f t="shared" si="0"/>
        <v>JL</v>
      </c>
    </row>
    <row r="59" spans="1:6" x14ac:dyDescent="0.25">
      <c r="A59" t="s">
        <v>86</v>
      </c>
      <c r="B59" t="s">
        <v>102</v>
      </c>
      <c r="C59" t="s">
        <v>476</v>
      </c>
      <c r="D59" t="s">
        <v>542</v>
      </c>
      <c r="F59" t="str">
        <f t="shared" si="0"/>
        <v>JS</v>
      </c>
    </row>
    <row r="60" spans="1:6" x14ac:dyDescent="0.25">
      <c r="A60" t="s">
        <v>86</v>
      </c>
      <c r="B60" t="s">
        <v>103</v>
      </c>
      <c r="C60" t="s">
        <v>477</v>
      </c>
      <c r="D60" t="s">
        <v>543</v>
      </c>
      <c r="F60" t="str">
        <f t="shared" si="0"/>
        <v>JX</v>
      </c>
    </row>
    <row r="61" spans="1:6" x14ac:dyDescent="0.25">
      <c r="A61" t="s">
        <v>86</v>
      </c>
      <c r="B61" t="s">
        <v>105</v>
      </c>
      <c r="C61" t="s">
        <v>479</v>
      </c>
      <c r="D61" t="s">
        <v>544</v>
      </c>
      <c r="F61" t="str">
        <f t="shared" si="0"/>
        <v>LN</v>
      </c>
    </row>
    <row r="62" spans="1:6" x14ac:dyDescent="0.25">
      <c r="A62" t="s">
        <v>86</v>
      </c>
      <c r="B62" t="s">
        <v>106</v>
      </c>
      <c r="C62" t="s">
        <v>269</v>
      </c>
      <c r="D62" t="s">
        <v>545</v>
      </c>
      <c r="F62" t="str">
        <f t="shared" si="0"/>
        <v>MO</v>
      </c>
    </row>
    <row r="63" spans="1:6" x14ac:dyDescent="0.25">
      <c r="A63" t="s">
        <v>86</v>
      </c>
      <c r="B63" t="s">
        <v>107</v>
      </c>
      <c r="C63" t="s">
        <v>417</v>
      </c>
      <c r="D63" t="s">
        <v>546</v>
      </c>
      <c r="F63" t="str">
        <f t="shared" si="0"/>
        <v>NM</v>
      </c>
    </row>
    <row r="64" spans="1:6" x14ac:dyDescent="0.25">
      <c r="A64" t="s">
        <v>86</v>
      </c>
      <c r="B64" t="s">
        <v>461</v>
      </c>
      <c r="C64" t="s">
        <v>480</v>
      </c>
      <c r="D64" t="s">
        <v>547</v>
      </c>
      <c r="F64" t="str">
        <f t="shared" si="0"/>
        <v>NX</v>
      </c>
    </row>
    <row r="65" spans="1:6" x14ac:dyDescent="0.25">
      <c r="A65" t="s">
        <v>86</v>
      </c>
      <c r="B65" t="s">
        <v>108</v>
      </c>
      <c r="C65" t="s">
        <v>481</v>
      </c>
      <c r="D65" t="s">
        <v>548</v>
      </c>
      <c r="F65" t="str">
        <f t="shared" si="0"/>
        <v>QH</v>
      </c>
    </row>
    <row r="66" spans="1:6" x14ac:dyDescent="0.25">
      <c r="A66" t="s">
        <v>86</v>
      </c>
      <c r="B66" t="s">
        <v>113</v>
      </c>
      <c r="C66" t="s">
        <v>53</v>
      </c>
      <c r="D66" t="s">
        <v>549</v>
      </c>
      <c r="F66" t="str">
        <f t="shared" si="0"/>
        <v>SC</v>
      </c>
    </row>
    <row r="67" spans="1:6" x14ac:dyDescent="0.25">
      <c r="A67" t="s">
        <v>86</v>
      </c>
      <c r="B67" t="s">
        <v>110</v>
      </c>
      <c r="C67" t="s">
        <v>436</v>
      </c>
      <c r="D67" t="s">
        <v>550</v>
      </c>
      <c r="F67" t="str">
        <f t="shared" ref="F67:F130" si="1">IF(E67="",C67,E67)</f>
        <v>SD</v>
      </c>
    </row>
    <row r="68" spans="1:6" x14ac:dyDescent="0.25">
      <c r="A68" t="s">
        <v>86</v>
      </c>
      <c r="B68" t="s">
        <v>111</v>
      </c>
      <c r="C68" t="s">
        <v>483</v>
      </c>
      <c r="D68" t="s">
        <v>551</v>
      </c>
      <c r="F68" t="str">
        <f t="shared" si="1"/>
        <v>SH</v>
      </c>
    </row>
    <row r="69" spans="1:6" x14ac:dyDescent="0.25">
      <c r="A69" t="s">
        <v>86</v>
      </c>
      <c r="B69" t="s">
        <v>109</v>
      </c>
      <c r="C69" t="s">
        <v>482</v>
      </c>
      <c r="D69" t="s">
        <v>552</v>
      </c>
      <c r="F69" t="str">
        <f t="shared" si="1"/>
        <v>SN</v>
      </c>
    </row>
    <row r="70" spans="1:6" x14ac:dyDescent="0.25">
      <c r="A70" t="s">
        <v>86</v>
      </c>
      <c r="B70" t="s">
        <v>112</v>
      </c>
      <c r="C70" t="s">
        <v>484</v>
      </c>
      <c r="D70" t="s">
        <v>553</v>
      </c>
      <c r="F70" t="str">
        <f t="shared" si="1"/>
        <v>SX</v>
      </c>
    </row>
    <row r="71" spans="1:6" x14ac:dyDescent="0.25">
      <c r="A71" t="s">
        <v>86</v>
      </c>
      <c r="B71" t="s">
        <v>115</v>
      </c>
      <c r="C71" t="s">
        <v>486</v>
      </c>
      <c r="D71" t="s">
        <v>554</v>
      </c>
      <c r="F71" t="str">
        <f t="shared" si="1"/>
        <v>TJ</v>
      </c>
    </row>
    <row r="72" spans="1:6" x14ac:dyDescent="0.25">
      <c r="A72" t="s">
        <v>86</v>
      </c>
      <c r="B72" t="s">
        <v>114</v>
      </c>
      <c r="C72" t="s">
        <v>485</v>
      </c>
      <c r="D72" t="s">
        <v>555</v>
      </c>
      <c r="F72" t="str">
        <f t="shared" si="1"/>
        <v>TW</v>
      </c>
    </row>
    <row r="73" spans="1:6" x14ac:dyDescent="0.25">
      <c r="A73" t="s">
        <v>86</v>
      </c>
      <c r="B73" t="s">
        <v>116</v>
      </c>
      <c r="C73" t="s">
        <v>487</v>
      </c>
      <c r="D73" t="s">
        <v>556</v>
      </c>
      <c r="F73" t="str">
        <f t="shared" si="1"/>
        <v>XJ</v>
      </c>
    </row>
    <row r="74" spans="1:6" x14ac:dyDescent="0.25">
      <c r="A74" t="s">
        <v>86</v>
      </c>
      <c r="B74" t="s">
        <v>117</v>
      </c>
      <c r="C74" t="s">
        <v>488</v>
      </c>
      <c r="D74" t="s">
        <v>557</v>
      </c>
      <c r="F74" t="str">
        <f t="shared" si="1"/>
        <v>XZ</v>
      </c>
    </row>
    <row r="75" spans="1:6" x14ac:dyDescent="0.25">
      <c r="A75" t="s">
        <v>86</v>
      </c>
      <c r="B75" t="s">
        <v>118</v>
      </c>
      <c r="C75" t="s">
        <v>489</v>
      </c>
      <c r="D75" t="s">
        <v>558</v>
      </c>
      <c r="F75" t="str">
        <f t="shared" si="1"/>
        <v>YN</v>
      </c>
    </row>
    <row r="76" spans="1:6" x14ac:dyDescent="0.25">
      <c r="A76" t="s">
        <v>86</v>
      </c>
      <c r="B76" t="s">
        <v>119</v>
      </c>
      <c r="C76" t="s">
        <v>490</v>
      </c>
      <c r="D76" t="s">
        <v>559</v>
      </c>
      <c r="F76" t="str">
        <f t="shared" si="1"/>
        <v>ZJ</v>
      </c>
    </row>
    <row r="77" spans="1:6" x14ac:dyDescent="0.25">
      <c r="A77" t="s">
        <v>120</v>
      </c>
      <c r="B77" t="s">
        <v>121</v>
      </c>
      <c r="C77" t="s">
        <v>122</v>
      </c>
      <c r="D77" t="s">
        <v>560</v>
      </c>
      <c r="E77" s="3" t="s">
        <v>998</v>
      </c>
      <c r="F77" t="str">
        <f t="shared" si="1"/>
        <v>-</v>
      </c>
    </row>
    <row r="78" spans="1:6" x14ac:dyDescent="0.25">
      <c r="A78" t="s">
        <v>120</v>
      </c>
      <c r="B78" t="s">
        <v>123</v>
      </c>
      <c r="C78" t="s">
        <v>9</v>
      </c>
      <c r="D78" t="s">
        <v>561</v>
      </c>
      <c r="E78" t="s">
        <v>994</v>
      </c>
      <c r="F78" t="str">
        <f t="shared" si="1"/>
        <v>South</v>
      </c>
    </row>
    <row r="79" spans="1:6" x14ac:dyDescent="0.25">
      <c r="A79" t="s">
        <v>120</v>
      </c>
      <c r="B79" t="s">
        <v>124</v>
      </c>
      <c r="C79" t="s">
        <v>125</v>
      </c>
      <c r="D79" t="s">
        <v>562</v>
      </c>
      <c r="E79" t="s">
        <v>992</v>
      </c>
      <c r="F79" t="str">
        <f t="shared" si="1"/>
        <v>Neast</v>
      </c>
    </row>
    <row r="80" spans="1:6" x14ac:dyDescent="0.25">
      <c r="A80" t="s">
        <v>120</v>
      </c>
      <c r="B80" t="s">
        <v>126</v>
      </c>
      <c r="C80" t="s">
        <v>127</v>
      </c>
      <c r="D80" t="s">
        <v>563</v>
      </c>
      <c r="E80" t="s">
        <v>992</v>
      </c>
      <c r="F80" t="str">
        <f t="shared" si="1"/>
        <v>Neast</v>
      </c>
    </row>
    <row r="81" spans="1:6" x14ac:dyDescent="0.25">
      <c r="A81" t="s">
        <v>120</v>
      </c>
      <c r="B81" t="s">
        <v>128</v>
      </c>
      <c r="C81" t="s">
        <v>129</v>
      </c>
      <c r="D81" t="s">
        <v>564</v>
      </c>
      <c r="E81" t="s">
        <v>996</v>
      </c>
      <c r="F81" t="str">
        <f t="shared" si="1"/>
        <v>East</v>
      </c>
    </row>
    <row r="82" spans="1:6" x14ac:dyDescent="0.25">
      <c r="A82" t="s">
        <v>120</v>
      </c>
      <c r="B82" t="s">
        <v>494</v>
      </c>
      <c r="C82" t="s">
        <v>131</v>
      </c>
      <c r="D82" t="s">
        <v>565</v>
      </c>
      <c r="E82" t="s">
        <v>993</v>
      </c>
      <c r="F82" t="str">
        <f t="shared" si="1"/>
        <v>North</v>
      </c>
    </row>
    <row r="83" spans="1:6" x14ac:dyDescent="0.25">
      <c r="A83" t="s">
        <v>120</v>
      </c>
      <c r="B83" t="s">
        <v>130</v>
      </c>
      <c r="C83" t="s">
        <v>373</v>
      </c>
      <c r="D83" t="s">
        <v>566</v>
      </c>
      <c r="E83" t="s">
        <v>995</v>
      </c>
      <c r="F83" t="str">
        <f t="shared" si="1"/>
        <v>West</v>
      </c>
    </row>
    <row r="84" spans="1:6" x14ac:dyDescent="0.25">
      <c r="A84" t="s">
        <v>120</v>
      </c>
      <c r="B84" t="s">
        <v>134</v>
      </c>
      <c r="C84" t="s">
        <v>135</v>
      </c>
      <c r="D84" t="s">
        <v>567</v>
      </c>
      <c r="E84" t="s">
        <v>995</v>
      </c>
      <c r="F84" t="str">
        <f t="shared" si="1"/>
        <v>West</v>
      </c>
    </row>
    <row r="85" spans="1:6" x14ac:dyDescent="0.25">
      <c r="A85" t="s">
        <v>120</v>
      </c>
      <c r="B85" t="s">
        <v>136</v>
      </c>
      <c r="C85" t="s">
        <v>137</v>
      </c>
      <c r="D85" t="s">
        <v>568</v>
      </c>
      <c r="E85" t="s">
        <v>993</v>
      </c>
      <c r="F85" t="str">
        <f t="shared" si="1"/>
        <v>North</v>
      </c>
    </row>
    <row r="86" spans="1:6" x14ac:dyDescent="0.25">
      <c r="A86" t="s">
        <v>120</v>
      </c>
      <c r="B86" t="s">
        <v>132</v>
      </c>
      <c r="C86" t="s">
        <v>133</v>
      </c>
      <c r="D86" t="s">
        <v>569</v>
      </c>
      <c r="E86" t="s">
        <v>995</v>
      </c>
      <c r="F86" t="str">
        <f t="shared" si="1"/>
        <v>West</v>
      </c>
    </row>
    <row r="87" spans="1:6" x14ac:dyDescent="0.25">
      <c r="A87" t="s">
        <v>120</v>
      </c>
      <c r="B87" t="s">
        <v>138</v>
      </c>
      <c r="C87" t="s">
        <v>139</v>
      </c>
      <c r="D87" t="s">
        <v>570</v>
      </c>
      <c r="E87" t="s">
        <v>995</v>
      </c>
      <c r="F87" t="str">
        <f t="shared" si="1"/>
        <v>West</v>
      </c>
    </row>
    <row r="88" spans="1:6" x14ac:dyDescent="0.25">
      <c r="A88" t="s">
        <v>120</v>
      </c>
      <c r="B88" t="s">
        <v>140</v>
      </c>
      <c r="C88" t="s">
        <v>141</v>
      </c>
      <c r="D88" t="s">
        <v>571</v>
      </c>
      <c r="E88" t="s">
        <v>995</v>
      </c>
      <c r="F88" t="str">
        <f t="shared" si="1"/>
        <v>West</v>
      </c>
    </row>
    <row r="89" spans="1:6" x14ac:dyDescent="0.25">
      <c r="A89" t="s">
        <v>120</v>
      </c>
      <c r="B89" t="s">
        <v>144</v>
      </c>
      <c r="C89" t="s">
        <v>145</v>
      </c>
      <c r="D89" t="s">
        <v>572</v>
      </c>
      <c r="E89" t="s">
        <v>993</v>
      </c>
      <c r="F89" t="str">
        <f t="shared" si="1"/>
        <v>North</v>
      </c>
    </row>
    <row r="90" spans="1:6" x14ac:dyDescent="0.25">
      <c r="A90" t="s">
        <v>120</v>
      </c>
      <c r="B90" t="s">
        <v>142</v>
      </c>
      <c r="C90" t="s">
        <v>143</v>
      </c>
      <c r="D90" t="s">
        <v>573</v>
      </c>
      <c r="E90" t="s">
        <v>993</v>
      </c>
      <c r="F90" t="str">
        <f t="shared" si="1"/>
        <v>North</v>
      </c>
    </row>
    <row r="91" spans="1:6" x14ac:dyDescent="0.25">
      <c r="A91" t="s">
        <v>120</v>
      </c>
      <c r="B91" t="s">
        <v>148</v>
      </c>
      <c r="C91" t="s">
        <v>149</v>
      </c>
      <c r="D91" t="s">
        <v>574</v>
      </c>
      <c r="E91" t="s">
        <v>996</v>
      </c>
      <c r="F91" t="str">
        <f t="shared" si="1"/>
        <v>East</v>
      </c>
    </row>
    <row r="92" spans="1:6" x14ac:dyDescent="0.25">
      <c r="A92" t="s">
        <v>120</v>
      </c>
      <c r="B92" t="s">
        <v>146</v>
      </c>
      <c r="C92" t="s">
        <v>147</v>
      </c>
      <c r="D92" t="s">
        <v>575</v>
      </c>
      <c r="E92" t="s">
        <v>993</v>
      </c>
      <c r="F92" t="str">
        <f t="shared" si="1"/>
        <v>North</v>
      </c>
    </row>
    <row r="93" spans="1:6" x14ac:dyDescent="0.25">
      <c r="A93" t="s">
        <v>120</v>
      </c>
      <c r="B93" t="s">
        <v>150</v>
      </c>
      <c r="C93" t="s">
        <v>151</v>
      </c>
      <c r="D93" t="s">
        <v>576</v>
      </c>
      <c r="E93" t="s">
        <v>994</v>
      </c>
      <c r="F93" t="str">
        <f t="shared" si="1"/>
        <v>South</v>
      </c>
    </row>
    <row r="94" spans="1:6" x14ac:dyDescent="0.25">
      <c r="A94" t="s">
        <v>120</v>
      </c>
      <c r="B94" t="s">
        <v>152</v>
      </c>
      <c r="C94" t="s">
        <v>153</v>
      </c>
      <c r="D94" t="s">
        <v>577</v>
      </c>
      <c r="E94" t="s">
        <v>994</v>
      </c>
      <c r="F94" t="str">
        <f t="shared" si="1"/>
        <v>South</v>
      </c>
    </row>
    <row r="95" spans="1:6" x14ac:dyDescent="0.25">
      <c r="A95" t="s">
        <v>120</v>
      </c>
      <c r="B95" t="s">
        <v>154</v>
      </c>
      <c r="C95" t="s">
        <v>155</v>
      </c>
      <c r="D95" t="s">
        <v>578</v>
      </c>
      <c r="E95" s="3" t="s">
        <v>998</v>
      </c>
      <c r="F95" t="str">
        <f t="shared" si="1"/>
        <v>-</v>
      </c>
    </row>
    <row r="96" spans="1:6" x14ac:dyDescent="0.25">
      <c r="A96" t="s">
        <v>120</v>
      </c>
      <c r="B96" t="s">
        <v>161</v>
      </c>
      <c r="C96" t="s">
        <v>162</v>
      </c>
      <c r="D96" t="s">
        <v>579</v>
      </c>
      <c r="E96" t="s">
        <v>992</v>
      </c>
      <c r="F96" t="str">
        <f t="shared" si="1"/>
        <v>Neast</v>
      </c>
    </row>
    <row r="97" spans="1:6" x14ac:dyDescent="0.25">
      <c r="A97" t="s">
        <v>120</v>
      </c>
      <c r="B97" t="s">
        <v>158</v>
      </c>
      <c r="C97" t="s">
        <v>495</v>
      </c>
      <c r="D97" t="s">
        <v>580</v>
      </c>
      <c r="E97" t="s">
        <v>995</v>
      </c>
      <c r="F97" t="str">
        <f t="shared" si="1"/>
        <v>West</v>
      </c>
    </row>
    <row r="98" spans="1:6" x14ac:dyDescent="0.25">
      <c r="A98" t="s">
        <v>120</v>
      </c>
      <c r="B98" t="s">
        <v>159</v>
      </c>
      <c r="C98" t="s">
        <v>160</v>
      </c>
      <c r="D98" t="s">
        <v>581</v>
      </c>
      <c r="E98" t="s">
        <v>992</v>
      </c>
      <c r="F98" t="str">
        <f t="shared" si="1"/>
        <v>Neast</v>
      </c>
    </row>
    <row r="99" spans="1:6" x14ac:dyDescent="0.25">
      <c r="A99" t="s">
        <v>120</v>
      </c>
      <c r="B99" t="s">
        <v>156</v>
      </c>
      <c r="C99" t="s">
        <v>157</v>
      </c>
      <c r="D99" t="s">
        <v>582</v>
      </c>
      <c r="E99" t="s">
        <v>995</v>
      </c>
      <c r="F99" t="str">
        <f t="shared" si="1"/>
        <v>West</v>
      </c>
    </row>
    <row r="100" spans="1:6" x14ac:dyDescent="0.25">
      <c r="A100" t="s">
        <v>120</v>
      </c>
      <c r="B100" t="s">
        <v>163</v>
      </c>
      <c r="C100" t="s">
        <v>164</v>
      </c>
      <c r="D100" t="s">
        <v>583</v>
      </c>
      <c r="E100" t="s">
        <v>992</v>
      </c>
      <c r="F100" t="str">
        <f t="shared" si="1"/>
        <v>Neast</v>
      </c>
    </row>
    <row r="101" spans="1:6" x14ac:dyDescent="0.25">
      <c r="A101" t="s">
        <v>120</v>
      </c>
      <c r="B101" t="s">
        <v>165</v>
      </c>
      <c r="C101" t="s">
        <v>70</v>
      </c>
      <c r="D101" t="s">
        <v>584</v>
      </c>
      <c r="E101" t="s">
        <v>992</v>
      </c>
      <c r="F101" t="str">
        <f t="shared" si="1"/>
        <v>Neast</v>
      </c>
    </row>
    <row r="102" spans="1:6" x14ac:dyDescent="0.25">
      <c r="A102" t="s">
        <v>120</v>
      </c>
      <c r="B102" t="s">
        <v>166</v>
      </c>
      <c r="C102" t="s">
        <v>167</v>
      </c>
      <c r="D102" t="s">
        <v>585</v>
      </c>
      <c r="E102" t="s">
        <v>996</v>
      </c>
      <c r="F102" t="str">
        <f t="shared" si="1"/>
        <v>East</v>
      </c>
    </row>
    <row r="103" spans="1:6" x14ac:dyDescent="0.25">
      <c r="A103" t="s">
        <v>120</v>
      </c>
      <c r="B103" t="s">
        <v>170</v>
      </c>
      <c r="C103" t="s">
        <v>35</v>
      </c>
      <c r="D103" t="s">
        <v>586</v>
      </c>
      <c r="E103" t="s">
        <v>993</v>
      </c>
      <c r="F103" t="str">
        <f t="shared" si="1"/>
        <v>North</v>
      </c>
    </row>
    <row r="104" spans="1:6" x14ac:dyDescent="0.25">
      <c r="A104" t="s">
        <v>120</v>
      </c>
      <c r="B104" t="s">
        <v>168</v>
      </c>
      <c r="C104" t="s">
        <v>169</v>
      </c>
      <c r="D104" t="s">
        <v>587</v>
      </c>
      <c r="E104" t="s">
        <v>994</v>
      </c>
      <c r="F104" t="str">
        <f t="shared" si="1"/>
        <v>South</v>
      </c>
    </row>
    <row r="105" spans="1:6" x14ac:dyDescent="0.25">
      <c r="A105" t="s">
        <v>120</v>
      </c>
      <c r="B105" t="s">
        <v>171</v>
      </c>
      <c r="C105" t="s">
        <v>43</v>
      </c>
      <c r="D105" t="s">
        <v>588</v>
      </c>
      <c r="E105" t="s">
        <v>993</v>
      </c>
      <c r="F105" t="str">
        <f t="shared" si="1"/>
        <v>North</v>
      </c>
    </row>
    <row r="106" spans="1:6" x14ac:dyDescent="0.25">
      <c r="A106" t="s">
        <v>120</v>
      </c>
      <c r="B106" t="s">
        <v>172</v>
      </c>
      <c r="C106" t="s">
        <v>83</v>
      </c>
      <c r="D106" t="s">
        <v>589</v>
      </c>
      <c r="E106" t="s">
        <v>992</v>
      </c>
      <c r="F106" t="str">
        <f t="shared" si="1"/>
        <v>Neast</v>
      </c>
    </row>
    <row r="107" spans="1:6" x14ac:dyDescent="0.25">
      <c r="A107" t="s">
        <v>120</v>
      </c>
      <c r="B107" t="s">
        <v>458</v>
      </c>
      <c r="C107" t="s">
        <v>491</v>
      </c>
      <c r="D107" t="s">
        <v>590</v>
      </c>
      <c r="E107" t="s">
        <v>994</v>
      </c>
      <c r="F107" t="str">
        <f t="shared" si="1"/>
        <v>South</v>
      </c>
    </row>
    <row r="108" spans="1:6" x14ac:dyDescent="0.25">
      <c r="A108" t="s">
        <v>120</v>
      </c>
      <c r="B108" t="s">
        <v>173</v>
      </c>
      <c r="C108" t="s">
        <v>174</v>
      </c>
      <c r="D108" t="s">
        <v>591</v>
      </c>
      <c r="E108" t="s">
        <v>994</v>
      </c>
      <c r="F108" t="str">
        <f t="shared" si="1"/>
        <v>South</v>
      </c>
    </row>
    <row r="109" spans="1:6" x14ac:dyDescent="0.25">
      <c r="A109" t="s">
        <v>120</v>
      </c>
      <c r="B109" t="s">
        <v>175</v>
      </c>
      <c r="C109" t="s">
        <v>176</v>
      </c>
      <c r="D109" t="s">
        <v>592</v>
      </c>
      <c r="E109" t="s">
        <v>992</v>
      </c>
      <c r="F109" t="str">
        <f t="shared" si="1"/>
        <v>Neast</v>
      </c>
    </row>
    <row r="110" spans="1:6" x14ac:dyDescent="0.25">
      <c r="A110" t="s">
        <v>120</v>
      </c>
      <c r="B110" t="s">
        <v>179</v>
      </c>
      <c r="C110" t="s">
        <v>443</v>
      </c>
      <c r="D110" t="s">
        <v>593</v>
      </c>
      <c r="E110" t="s">
        <v>993</v>
      </c>
      <c r="F110" t="str">
        <f t="shared" si="1"/>
        <v>North</v>
      </c>
    </row>
    <row r="111" spans="1:6" x14ac:dyDescent="0.25">
      <c r="A111" t="s">
        <v>120</v>
      </c>
      <c r="B111" t="s">
        <v>177</v>
      </c>
      <c r="C111" t="s">
        <v>178</v>
      </c>
      <c r="D111" t="s">
        <v>594</v>
      </c>
      <c r="E111" t="s">
        <v>993</v>
      </c>
      <c r="F111" t="str">
        <f t="shared" si="1"/>
        <v>North</v>
      </c>
    </row>
    <row r="112" spans="1:6" x14ac:dyDescent="0.25">
      <c r="A112" t="s">
        <v>120</v>
      </c>
      <c r="B112" t="s">
        <v>180</v>
      </c>
      <c r="C112" t="s">
        <v>181</v>
      </c>
      <c r="D112" t="s">
        <v>595</v>
      </c>
      <c r="E112" t="s">
        <v>996</v>
      </c>
      <c r="F112" t="str">
        <f t="shared" si="1"/>
        <v>East</v>
      </c>
    </row>
    <row r="113" spans="1:6" x14ac:dyDescent="0.25">
      <c r="A113" t="s">
        <v>459</v>
      </c>
      <c r="B113" t="s">
        <v>182</v>
      </c>
      <c r="C113" t="s">
        <v>183</v>
      </c>
      <c r="D113" t="s">
        <v>596</v>
      </c>
      <c r="F113" t="str">
        <f t="shared" si="1"/>
        <v>AD</v>
      </c>
    </row>
    <row r="114" spans="1:6" x14ac:dyDescent="0.25">
      <c r="A114" t="s">
        <v>459</v>
      </c>
      <c r="B114" t="s">
        <v>184</v>
      </c>
      <c r="C114" t="s">
        <v>185</v>
      </c>
      <c r="D114" t="s">
        <v>597</v>
      </c>
      <c r="F114" t="str">
        <f t="shared" si="1"/>
        <v>AGB</v>
      </c>
    </row>
    <row r="115" spans="1:6" x14ac:dyDescent="0.25">
      <c r="A115" t="s">
        <v>459</v>
      </c>
      <c r="B115" t="s">
        <v>186</v>
      </c>
      <c r="C115" t="s">
        <v>7</v>
      </c>
      <c r="D115" t="s">
        <v>598</v>
      </c>
      <c r="F115" t="str">
        <f t="shared" si="1"/>
        <v>AL</v>
      </c>
    </row>
    <row r="116" spans="1:6" x14ac:dyDescent="0.25">
      <c r="A116" t="s">
        <v>459</v>
      </c>
      <c r="B116" t="s">
        <v>187</v>
      </c>
      <c r="C116" t="s">
        <v>188</v>
      </c>
      <c r="D116" t="s">
        <v>599</v>
      </c>
      <c r="F116" t="str">
        <f t="shared" si="1"/>
        <v>ALT</v>
      </c>
    </row>
    <row r="117" spans="1:6" x14ac:dyDescent="0.25">
      <c r="A117" t="s">
        <v>459</v>
      </c>
      <c r="B117" t="s">
        <v>189</v>
      </c>
      <c r="C117" t="s">
        <v>190</v>
      </c>
      <c r="D117" t="s">
        <v>600</v>
      </c>
      <c r="F117" t="str">
        <f t="shared" si="1"/>
        <v>AMU</v>
      </c>
    </row>
    <row r="118" spans="1:6" x14ac:dyDescent="0.25">
      <c r="A118" t="s">
        <v>459</v>
      </c>
      <c r="B118" t="s">
        <v>191</v>
      </c>
      <c r="C118" t="s">
        <v>192</v>
      </c>
      <c r="D118" t="s">
        <v>601</v>
      </c>
      <c r="F118" t="str">
        <f t="shared" si="1"/>
        <v>ARK</v>
      </c>
    </row>
    <row r="119" spans="1:6" x14ac:dyDescent="0.25">
      <c r="A119" t="s">
        <v>459</v>
      </c>
      <c r="B119" t="s">
        <v>193</v>
      </c>
      <c r="C119" t="s">
        <v>194</v>
      </c>
      <c r="D119" t="s">
        <v>602</v>
      </c>
      <c r="F119" t="str">
        <f t="shared" si="1"/>
        <v>AST</v>
      </c>
    </row>
    <row r="120" spans="1:6" x14ac:dyDescent="0.25">
      <c r="A120" t="s">
        <v>459</v>
      </c>
      <c r="B120" t="s">
        <v>195</v>
      </c>
      <c r="C120" t="s">
        <v>13</v>
      </c>
      <c r="D120" t="s">
        <v>603</v>
      </c>
      <c r="F120" t="str">
        <f t="shared" si="1"/>
        <v>BA</v>
      </c>
    </row>
    <row r="121" spans="1:6" x14ac:dyDescent="0.25">
      <c r="A121" t="s">
        <v>459</v>
      </c>
      <c r="B121" t="s">
        <v>196</v>
      </c>
      <c r="C121" t="s">
        <v>197</v>
      </c>
      <c r="D121" t="s">
        <v>604</v>
      </c>
      <c r="F121" t="str">
        <f t="shared" si="1"/>
        <v>BEL</v>
      </c>
    </row>
    <row r="122" spans="1:6" x14ac:dyDescent="0.25">
      <c r="A122" t="s">
        <v>459</v>
      </c>
      <c r="B122" t="s">
        <v>198</v>
      </c>
      <c r="C122" t="s">
        <v>199</v>
      </c>
      <c r="D122" t="s">
        <v>605</v>
      </c>
      <c r="F122" t="str">
        <f t="shared" si="1"/>
        <v>BRY</v>
      </c>
    </row>
    <row r="123" spans="1:6" x14ac:dyDescent="0.25">
      <c r="A123" t="s">
        <v>459</v>
      </c>
      <c r="B123" t="s">
        <v>200</v>
      </c>
      <c r="C123" t="s">
        <v>201</v>
      </c>
      <c r="D123" t="s">
        <v>606</v>
      </c>
      <c r="F123" t="str">
        <f t="shared" si="1"/>
        <v>BU</v>
      </c>
    </row>
    <row r="124" spans="1:6" x14ac:dyDescent="0.25">
      <c r="A124" t="s">
        <v>459</v>
      </c>
      <c r="B124" t="s">
        <v>202</v>
      </c>
      <c r="C124" t="s">
        <v>15</v>
      </c>
      <c r="D124" t="s">
        <v>607</v>
      </c>
      <c r="F124" t="str">
        <f t="shared" si="1"/>
        <v>CE</v>
      </c>
    </row>
    <row r="125" spans="1:6" x14ac:dyDescent="0.25">
      <c r="A125" t="s">
        <v>459</v>
      </c>
      <c r="B125" t="s">
        <v>203</v>
      </c>
      <c r="C125" t="s">
        <v>204</v>
      </c>
      <c r="D125" t="s">
        <v>608</v>
      </c>
      <c r="F125" t="str">
        <f t="shared" si="1"/>
        <v>CHE</v>
      </c>
    </row>
    <row r="126" spans="1:6" x14ac:dyDescent="0.25">
      <c r="A126" t="s">
        <v>459</v>
      </c>
      <c r="B126" t="s">
        <v>205</v>
      </c>
      <c r="C126" t="s">
        <v>206</v>
      </c>
      <c r="D126" t="s">
        <v>609</v>
      </c>
      <c r="F126" t="str">
        <f t="shared" si="1"/>
        <v>CHI</v>
      </c>
    </row>
    <row r="127" spans="1:6" x14ac:dyDescent="0.25">
      <c r="A127" t="s">
        <v>459</v>
      </c>
      <c r="B127" t="s">
        <v>207</v>
      </c>
      <c r="C127" t="s">
        <v>208</v>
      </c>
      <c r="D127" t="s">
        <v>610</v>
      </c>
      <c r="F127" t="str">
        <f t="shared" si="1"/>
        <v>CHU</v>
      </c>
    </row>
    <row r="128" spans="1:6" x14ac:dyDescent="0.25">
      <c r="A128" t="s">
        <v>459</v>
      </c>
      <c r="B128" t="s">
        <v>209</v>
      </c>
      <c r="C128" t="s">
        <v>210</v>
      </c>
      <c r="D128" t="s">
        <v>611</v>
      </c>
      <c r="F128" t="str">
        <f t="shared" si="1"/>
        <v>CU</v>
      </c>
    </row>
    <row r="129" spans="1:6" x14ac:dyDescent="0.25">
      <c r="A129" t="s">
        <v>459</v>
      </c>
      <c r="B129" t="s">
        <v>211</v>
      </c>
      <c r="C129" t="s">
        <v>212</v>
      </c>
      <c r="D129" t="s">
        <v>612</v>
      </c>
      <c r="F129" t="str">
        <f t="shared" si="1"/>
        <v>DA</v>
      </c>
    </row>
    <row r="130" spans="1:6" x14ac:dyDescent="0.25">
      <c r="A130" t="s">
        <v>459</v>
      </c>
      <c r="B130" t="s">
        <v>213</v>
      </c>
      <c r="C130" t="s">
        <v>214</v>
      </c>
      <c r="D130" t="s">
        <v>613</v>
      </c>
      <c r="F130" t="str">
        <f t="shared" si="1"/>
        <v>EVE</v>
      </c>
    </row>
    <row r="131" spans="1:6" x14ac:dyDescent="0.25">
      <c r="A131" t="s">
        <v>459</v>
      </c>
      <c r="B131" t="s">
        <v>215</v>
      </c>
      <c r="C131" t="s">
        <v>216</v>
      </c>
      <c r="D131" t="s">
        <v>614</v>
      </c>
      <c r="F131" t="str">
        <f t="shared" ref="F131:F194" si="2">IF(E131="",C131,E131)</f>
        <v>IN</v>
      </c>
    </row>
    <row r="132" spans="1:6" x14ac:dyDescent="0.25">
      <c r="A132" t="s">
        <v>459</v>
      </c>
      <c r="B132" t="s">
        <v>217</v>
      </c>
      <c r="C132" t="s">
        <v>218</v>
      </c>
      <c r="D132" t="s">
        <v>615</v>
      </c>
      <c r="F132" t="str">
        <f t="shared" si="2"/>
        <v>IRK</v>
      </c>
    </row>
    <row r="133" spans="1:6" x14ac:dyDescent="0.25">
      <c r="A133" t="s">
        <v>459</v>
      </c>
      <c r="B133" t="s">
        <v>219</v>
      </c>
      <c r="C133" t="s">
        <v>220</v>
      </c>
      <c r="D133" t="s">
        <v>616</v>
      </c>
      <c r="F133" t="str">
        <f t="shared" si="2"/>
        <v>IVA</v>
      </c>
    </row>
    <row r="134" spans="1:6" x14ac:dyDescent="0.25">
      <c r="A134" t="s">
        <v>459</v>
      </c>
      <c r="B134" t="s">
        <v>228</v>
      </c>
      <c r="C134" t="s">
        <v>229</v>
      </c>
      <c r="D134" t="s">
        <v>617</v>
      </c>
      <c r="F134" t="str">
        <f t="shared" si="2"/>
        <v>KAM</v>
      </c>
    </row>
    <row r="135" spans="1:6" x14ac:dyDescent="0.25">
      <c r="A135" t="s">
        <v>459</v>
      </c>
      <c r="B135" t="s">
        <v>221</v>
      </c>
      <c r="C135" t="s">
        <v>222</v>
      </c>
      <c r="D135" t="s">
        <v>618</v>
      </c>
      <c r="F135" t="str">
        <f t="shared" si="2"/>
        <v>KB</v>
      </c>
    </row>
    <row r="136" spans="1:6" x14ac:dyDescent="0.25">
      <c r="A136" t="s">
        <v>459</v>
      </c>
      <c r="B136" t="s">
        <v>230</v>
      </c>
      <c r="C136" t="s">
        <v>231</v>
      </c>
      <c r="D136" t="s">
        <v>619</v>
      </c>
      <c r="F136" t="str">
        <f t="shared" si="2"/>
        <v>KC</v>
      </c>
    </row>
    <row r="137" spans="1:6" x14ac:dyDescent="0.25">
      <c r="A137" t="s">
        <v>459</v>
      </c>
      <c r="B137" t="s">
        <v>252</v>
      </c>
      <c r="C137" t="s">
        <v>253</v>
      </c>
      <c r="D137" t="s">
        <v>620</v>
      </c>
      <c r="F137" t="str">
        <f t="shared" si="2"/>
        <v>KDA</v>
      </c>
    </row>
    <row r="138" spans="1:6" x14ac:dyDescent="0.25">
      <c r="A138" t="s">
        <v>459</v>
      </c>
      <c r="B138" t="s">
        <v>234</v>
      </c>
      <c r="C138" t="s">
        <v>235</v>
      </c>
      <c r="D138" t="s">
        <v>621</v>
      </c>
      <c r="F138" t="str">
        <f t="shared" si="2"/>
        <v>KEM</v>
      </c>
    </row>
    <row r="139" spans="1:6" x14ac:dyDescent="0.25">
      <c r="A139" t="s">
        <v>459</v>
      </c>
      <c r="B139" t="s">
        <v>223</v>
      </c>
      <c r="C139" t="s">
        <v>224</v>
      </c>
      <c r="D139" t="s">
        <v>622</v>
      </c>
      <c r="F139" t="str">
        <f t="shared" si="2"/>
        <v>KGD</v>
      </c>
    </row>
    <row r="140" spans="1:6" x14ac:dyDescent="0.25">
      <c r="A140" t="s">
        <v>459</v>
      </c>
      <c r="B140" t="s">
        <v>256</v>
      </c>
      <c r="C140" t="s">
        <v>257</v>
      </c>
      <c r="D140" t="s">
        <v>623</v>
      </c>
      <c r="F140" t="str">
        <f t="shared" si="2"/>
        <v>KGN</v>
      </c>
    </row>
    <row r="141" spans="1:6" x14ac:dyDescent="0.25">
      <c r="A141" t="s">
        <v>459</v>
      </c>
      <c r="B141" t="s">
        <v>236</v>
      </c>
      <c r="C141" t="s">
        <v>237</v>
      </c>
      <c r="D141" t="s">
        <v>624</v>
      </c>
      <c r="F141" t="str">
        <f t="shared" si="2"/>
        <v>KHA</v>
      </c>
    </row>
    <row r="142" spans="1:6" x14ac:dyDescent="0.25">
      <c r="A142" t="s">
        <v>459</v>
      </c>
      <c r="B142" t="s">
        <v>240</v>
      </c>
      <c r="C142" t="s">
        <v>241</v>
      </c>
      <c r="D142" t="s">
        <v>625</v>
      </c>
      <c r="F142" t="str">
        <f t="shared" si="2"/>
        <v>KHM</v>
      </c>
    </row>
    <row r="143" spans="1:6" x14ac:dyDescent="0.25">
      <c r="A143" t="s">
        <v>459</v>
      </c>
      <c r="B143" t="s">
        <v>242</v>
      </c>
      <c r="C143" t="s">
        <v>243</v>
      </c>
      <c r="D143" t="s">
        <v>626</v>
      </c>
      <c r="F143" t="str">
        <f t="shared" si="2"/>
        <v>KIR</v>
      </c>
    </row>
    <row r="144" spans="1:6" x14ac:dyDescent="0.25">
      <c r="A144" t="s">
        <v>459</v>
      </c>
      <c r="B144" t="s">
        <v>238</v>
      </c>
      <c r="C144" t="s">
        <v>239</v>
      </c>
      <c r="D144" t="s">
        <v>627</v>
      </c>
      <c r="F144" t="str">
        <f t="shared" si="2"/>
        <v>KK</v>
      </c>
    </row>
    <row r="145" spans="1:6" x14ac:dyDescent="0.25">
      <c r="A145" t="s">
        <v>459</v>
      </c>
      <c r="B145" t="s">
        <v>225</v>
      </c>
      <c r="C145" t="s">
        <v>153</v>
      </c>
      <c r="D145" t="s">
        <v>628</v>
      </c>
      <c r="F145" t="str">
        <f t="shared" si="2"/>
        <v>KL</v>
      </c>
    </row>
    <row r="146" spans="1:6" x14ac:dyDescent="0.25">
      <c r="A146" t="s">
        <v>459</v>
      </c>
      <c r="B146" t="s">
        <v>226</v>
      </c>
      <c r="C146" t="s">
        <v>227</v>
      </c>
      <c r="D146" t="s">
        <v>629</v>
      </c>
      <c r="F146" t="str">
        <f t="shared" si="2"/>
        <v>KLU</v>
      </c>
    </row>
    <row r="147" spans="1:6" x14ac:dyDescent="0.25">
      <c r="A147" t="s">
        <v>459</v>
      </c>
      <c r="B147" t="s">
        <v>244</v>
      </c>
      <c r="C147" t="s">
        <v>245</v>
      </c>
      <c r="D147" t="s">
        <v>630</v>
      </c>
      <c r="F147" t="str">
        <f t="shared" si="2"/>
        <v>KO</v>
      </c>
    </row>
    <row r="148" spans="1:6" x14ac:dyDescent="0.25">
      <c r="A148" t="s">
        <v>459</v>
      </c>
      <c r="B148" t="s">
        <v>246</v>
      </c>
      <c r="C148" t="s">
        <v>247</v>
      </c>
      <c r="D148" t="s">
        <v>631</v>
      </c>
      <c r="F148" t="str">
        <f t="shared" si="2"/>
        <v>KOP</v>
      </c>
    </row>
    <row r="149" spans="1:6" x14ac:dyDescent="0.25">
      <c r="A149" t="s">
        <v>459</v>
      </c>
      <c r="B149" t="s">
        <v>248</v>
      </c>
      <c r="C149" t="s">
        <v>249</v>
      </c>
      <c r="D149" t="s">
        <v>632</v>
      </c>
      <c r="F149" t="str">
        <f t="shared" si="2"/>
        <v>KOR</v>
      </c>
    </row>
    <row r="150" spans="1:6" x14ac:dyDescent="0.25">
      <c r="A150" t="s">
        <v>459</v>
      </c>
      <c r="B150" t="s">
        <v>250</v>
      </c>
      <c r="C150" t="s">
        <v>251</v>
      </c>
      <c r="D150" t="s">
        <v>633</v>
      </c>
      <c r="F150" t="str">
        <f t="shared" si="2"/>
        <v>KOS</v>
      </c>
    </row>
    <row r="151" spans="1:6" x14ac:dyDescent="0.25">
      <c r="A151" t="s">
        <v>459</v>
      </c>
      <c r="B151" t="s">
        <v>232</v>
      </c>
      <c r="C151" t="s">
        <v>233</v>
      </c>
      <c r="D151" t="s">
        <v>634</v>
      </c>
      <c r="F151" t="str">
        <f t="shared" si="2"/>
        <v>KR</v>
      </c>
    </row>
    <row r="152" spans="1:6" x14ac:dyDescent="0.25">
      <c r="A152" t="s">
        <v>459</v>
      </c>
      <c r="B152" t="s">
        <v>258</v>
      </c>
      <c r="C152" t="s">
        <v>259</v>
      </c>
      <c r="D152" t="s">
        <v>635</v>
      </c>
      <c r="F152" t="str">
        <f t="shared" si="2"/>
        <v>KRS</v>
      </c>
    </row>
    <row r="153" spans="1:6" x14ac:dyDescent="0.25">
      <c r="A153" t="s">
        <v>459</v>
      </c>
      <c r="B153" t="s">
        <v>254</v>
      </c>
      <c r="C153" t="s">
        <v>255</v>
      </c>
      <c r="D153" t="s">
        <v>636</v>
      </c>
      <c r="F153" t="str">
        <f t="shared" si="2"/>
        <v>KYA</v>
      </c>
    </row>
    <row r="154" spans="1:6" x14ac:dyDescent="0.25">
      <c r="A154" t="s">
        <v>459</v>
      </c>
      <c r="B154" t="s">
        <v>260</v>
      </c>
      <c r="C154" t="s">
        <v>261</v>
      </c>
      <c r="D154" t="s">
        <v>637</v>
      </c>
      <c r="F154" t="str">
        <f t="shared" si="2"/>
        <v>LEN</v>
      </c>
    </row>
    <row r="155" spans="1:6" x14ac:dyDescent="0.25">
      <c r="A155" t="s">
        <v>459</v>
      </c>
      <c r="B155" t="s">
        <v>262</v>
      </c>
      <c r="C155" t="s">
        <v>263</v>
      </c>
      <c r="D155" t="s">
        <v>638</v>
      </c>
      <c r="F155" t="str">
        <f t="shared" si="2"/>
        <v>LIP</v>
      </c>
    </row>
    <row r="156" spans="1:6" x14ac:dyDescent="0.25">
      <c r="A156" t="s">
        <v>459</v>
      </c>
      <c r="B156" t="s">
        <v>264</v>
      </c>
      <c r="C156" t="s">
        <v>265</v>
      </c>
      <c r="D156" t="s">
        <v>639</v>
      </c>
      <c r="F156" t="str">
        <f t="shared" si="2"/>
        <v>MAG</v>
      </c>
    </row>
    <row r="157" spans="1:6" x14ac:dyDescent="0.25">
      <c r="A157" t="s">
        <v>459</v>
      </c>
      <c r="B157" t="s">
        <v>266</v>
      </c>
      <c r="C157" t="s">
        <v>267</v>
      </c>
      <c r="D157" t="s">
        <v>640</v>
      </c>
      <c r="F157" t="str">
        <f t="shared" si="2"/>
        <v>ME</v>
      </c>
    </row>
    <row r="158" spans="1:6" x14ac:dyDescent="0.25">
      <c r="A158" t="s">
        <v>459</v>
      </c>
      <c r="B158" t="s">
        <v>268</v>
      </c>
      <c r="C158" t="s">
        <v>269</v>
      </c>
      <c r="D158" t="s">
        <v>641</v>
      </c>
      <c r="F158" t="str">
        <f t="shared" si="2"/>
        <v>MO</v>
      </c>
    </row>
    <row r="159" spans="1:6" x14ac:dyDescent="0.25">
      <c r="A159" t="s">
        <v>459</v>
      </c>
      <c r="B159" t="s">
        <v>270</v>
      </c>
      <c r="C159" t="s">
        <v>271</v>
      </c>
      <c r="D159" t="s">
        <v>642</v>
      </c>
      <c r="F159" t="str">
        <f t="shared" si="2"/>
        <v>MOS</v>
      </c>
    </row>
    <row r="160" spans="1:6" x14ac:dyDescent="0.25">
      <c r="A160" t="s">
        <v>459</v>
      </c>
      <c r="B160" t="s">
        <v>272</v>
      </c>
      <c r="C160" t="s">
        <v>273</v>
      </c>
      <c r="D160" t="s">
        <v>643</v>
      </c>
      <c r="F160" t="str">
        <f t="shared" si="2"/>
        <v>MOW</v>
      </c>
    </row>
    <row r="161" spans="1:6" x14ac:dyDescent="0.25">
      <c r="A161" t="s">
        <v>459</v>
      </c>
      <c r="B161" t="s">
        <v>274</v>
      </c>
      <c r="C161" t="s">
        <v>275</v>
      </c>
      <c r="D161" t="s">
        <v>644</v>
      </c>
      <c r="F161" t="str">
        <f t="shared" si="2"/>
        <v>MUR</v>
      </c>
    </row>
    <row r="162" spans="1:6" x14ac:dyDescent="0.25">
      <c r="A162" t="s">
        <v>459</v>
      </c>
      <c r="B162" t="s">
        <v>276</v>
      </c>
      <c r="C162" t="s">
        <v>277</v>
      </c>
      <c r="D162" t="s">
        <v>645</v>
      </c>
      <c r="F162" t="str">
        <f t="shared" si="2"/>
        <v>NEN</v>
      </c>
    </row>
    <row r="163" spans="1:6" x14ac:dyDescent="0.25">
      <c r="A163" t="s">
        <v>459</v>
      </c>
      <c r="B163" t="s">
        <v>280</v>
      </c>
      <c r="C163" t="s">
        <v>281</v>
      </c>
      <c r="D163" t="s">
        <v>646</v>
      </c>
      <c r="F163" t="str">
        <f t="shared" si="2"/>
        <v>NGR</v>
      </c>
    </row>
    <row r="164" spans="1:6" x14ac:dyDescent="0.25">
      <c r="A164" t="s">
        <v>459</v>
      </c>
      <c r="B164" t="s">
        <v>278</v>
      </c>
      <c r="C164" t="s">
        <v>279</v>
      </c>
      <c r="D164" t="s">
        <v>647</v>
      </c>
      <c r="F164" t="str">
        <f t="shared" si="2"/>
        <v>NIZ</v>
      </c>
    </row>
    <row r="165" spans="1:6" x14ac:dyDescent="0.25">
      <c r="A165" t="s">
        <v>459</v>
      </c>
      <c r="B165" t="s">
        <v>282</v>
      </c>
      <c r="C165" t="s">
        <v>283</v>
      </c>
      <c r="D165" t="s">
        <v>648</v>
      </c>
      <c r="F165" t="str">
        <f t="shared" si="2"/>
        <v>NVS</v>
      </c>
    </row>
    <row r="166" spans="1:6" x14ac:dyDescent="0.25">
      <c r="A166" t="s">
        <v>459</v>
      </c>
      <c r="B166" t="s">
        <v>284</v>
      </c>
      <c r="C166" t="s">
        <v>285</v>
      </c>
      <c r="D166" t="s">
        <v>649</v>
      </c>
      <c r="F166" t="str">
        <f t="shared" si="2"/>
        <v>OMS</v>
      </c>
    </row>
    <row r="167" spans="1:6" x14ac:dyDescent="0.25">
      <c r="A167" t="s">
        <v>459</v>
      </c>
      <c r="B167" t="s">
        <v>286</v>
      </c>
      <c r="C167" t="s">
        <v>287</v>
      </c>
      <c r="D167" t="s">
        <v>650</v>
      </c>
      <c r="F167" t="str">
        <f t="shared" si="2"/>
        <v>ORE</v>
      </c>
    </row>
    <row r="168" spans="1:6" x14ac:dyDescent="0.25">
      <c r="A168" t="s">
        <v>459</v>
      </c>
      <c r="B168" t="s">
        <v>288</v>
      </c>
      <c r="C168" t="s">
        <v>289</v>
      </c>
      <c r="D168" t="s">
        <v>651</v>
      </c>
      <c r="F168" t="str">
        <f t="shared" si="2"/>
        <v>ORL</v>
      </c>
    </row>
    <row r="169" spans="1:6" x14ac:dyDescent="0.25">
      <c r="A169" t="s">
        <v>459</v>
      </c>
      <c r="B169" t="s">
        <v>292</v>
      </c>
      <c r="C169" t="s">
        <v>293</v>
      </c>
      <c r="D169" t="s">
        <v>652</v>
      </c>
      <c r="F169" t="str">
        <f t="shared" si="2"/>
        <v>PER</v>
      </c>
    </row>
    <row r="170" spans="1:6" x14ac:dyDescent="0.25">
      <c r="A170" t="s">
        <v>459</v>
      </c>
      <c r="B170" t="s">
        <v>290</v>
      </c>
      <c r="C170" t="s">
        <v>291</v>
      </c>
      <c r="D170" t="s">
        <v>653</v>
      </c>
      <c r="F170" t="str">
        <f t="shared" si="2"/>
        <v>PNZ</v>
      </c>
    </row>
    <row r="171" spans="1:6" x14ac:dyDescent="0.25">
      <c r="A171" t="s">
        <v>459</v>
      </c>
      <c r="B171" t="s">
        <v>294</v>
      </c>
      <c r="C171" t="s">
        <v>295</v>
      </c>
      <c r="D171" t="s">
        <v>654</v>
      </c>
      <c r="F171" t="str">
        <f t="shared" si="2"/>
        <v>PRI</v>
      </c>
    </row>
    <row r="172" spans="1:6" x14ac:dyDescent="0.25">
      <c r="A172" t="s">
        <v>459</v>
      </c>
      <c r="B172" t="s">
        <v>296</v>
      </c>
      <c r="C172" t="s">
        <v>297</v>
      </c>
      <c r="D172" t="s">
        <v>655</v>
      </c>
      <c r="F172" t="str">
        <f t="shared" si="2"/>
        <v>PSK</v>
      </c>
    </row>
    <row r="173" spans="1:6" x14ac:dyDescent="0.25">
      <c r="A173" t="s">
        <v>459</v>
      </c>
      <c r="B173" t="s">
        <v>298</v>
      </c>
      <c r="C173" t="s">
        <v>299</v>
      </c>
      <c r="D173" t="s">
        <v>656</v>
      </c>
      <c r="F173" t="str">
        <f t="shared" si="2"/>
        <v>ROS</v>
      </c>
    </row>
    <row r="174" spans="1:6" x14ac:dyDescent="0.25">
      <c r="A174" t="s">
        <v>459</v>
      </c>
      <c r="B174" t="s">
        <v>300</v>
      </c>
      <c r="C174" t="s">
        <v>301</v>
      </c>
      <c r="D174" t="s">
        <v>657</v>
      </c>
      <c r="F174" t="str">
        <f t="shared" si="2"/>
        <v>RYA</v>
      </c>
    </row>
    <row r="175" spans="1:6" x14ac:dyDescent="0.25">
      <c r="A175" t="s">
        <v>459</v>
      </c>
      <c r="B175" t="s">
        <v>302</v>
      </c>
      <c r="C175" t="s">
        <v>303</v>
      </c>
      <c r="D175" t="s">
        <v>658</v>
      </c>
      <c r="F175" t="str">
        <f t="shared" si="2"/>
        <v>SA</v>
      </c>
    </row>
    <row r="176" spans="1:6" x14ac:dyDescent="0.25">
      <c r="A176" t="s">
        <v>459</v>
      </c>
      <c r="B176" t="s">
        <v>304</v>
      </c>
      <c r="C176" t="s">
        <v>305</v>
      </c>
      <c r="D176" t="s">
        <v>659</v>
      </c>
      <c r="F176" t="str">
        <f t="shared" si="2"/>
        <v>SAK</v>
      </c>
    </row>
    <row r="177" spans="1:6" x14ac:dyDescent="0.25">
      <c r="A177" t="s">
        <v>459</v>
      </c>
      <c r="B177" t="s">
        <v>306</v>
      </c>
      <c r="C177" t="s">
        <v>307</v>
      </c>
      <c r="D177" t="s">
        <v>660</v>
      </c>
      <c r="F177" t="str">
        <f t="shared" si="2"/>
        <v>SAM</v>
      </c>
    </row>
    <row r="178" spans="1:6" x14ac:dyDescent="0.25">
      <c r="A178" t="s">
        <v>459</v>
      </c>
      <c r="B178" t="s">
        <v>310</v>
      </c>
      <c r="C178" t="s">
        <v>311</v>
      </c>
      <c r="D178" t="s">
        <v>661</v>
      </c>
      <c r="F178" t="str">
        <f t="shared" si="2"/>
        <v>SAR</v>
      </c>
    </row>
    <row r="179" spans="1:6" x14ac:dyDescent="0.25">
      <c r="A179" t="s">
        <v>459</v>
      </c>
      <c r="B179" t="s">
        <v>312</v>
      </c>
      <c r="C179" t="s">
        <v>57</v>
      </c>
      <c r="D179" t="s">
        <v>662</v>
      </c>
      <c r="F179" t="str">
        <f t="shared" si="2"/>
        <v>SE</v>
      </c>
    </row>
    <row r="180" spans="1:6" x14ac:dyDescent="0.25">
      <c r="A180" t="s">
        <v>459</v>
      </c>
      <c r="B180" t="s">
        <v>313</v>
      </c>
      <c r="C180" t="s">
        <v>314</v>
      </c>
      <c r="D180" t="s">
        <v>663</v>
      </c>
      <c r="F180" t="str">
        <f t="shared" si="2"/>
        <v>SMO</v>
      </c>
    </row>
    <row r="181" spans="1:6" x14ac:dyDescent="0.25">
      <c r="A181" t="s">
        <v>459</v>
      </c>
      <c r="B181" t="s">
        <v>308</v>
      </c>
      <c r="C181" t="s">
        <v>309</v>
      </c>
      <c r="D181" t="s">
        <v>664</v>
      </c>
      <c r="F181" t="str">
        <f t="shared" si="2"/>
        <v>SPE</v>
      </c>
    </row>
    <row r="182" spans="1:6" x14ac:dyDescent="0.25">
      <c r="A182" t="s">
        <v>459</v>
      </c>
      <c r="B182" t="s">
        <v>315</v>
      </c>
      <c r="C182" t="s">
        <v>316</v>
      </c>
      <c r="D182" t="s">
        <v>665</v>
      </c>
      <c r="F182" t="str">
        <f t="shared" si="2"/>
        <v>STA</v>
      </c>
    </row>
    <row r="183" spans="1:6" x14ac:dyDescent="0.25">
      <c r="A183" t="s">
        <v>459</v>
      </c>
      <c r="B183" t="s">
        <v>317</v>
      </c>
      <c r="C183" t="s">
        <v>318</v>
      </c>
      <c r="D183" t="s">
        <v>666</v>
      </c>
      <c r="F183" t="str">
        <f t="shared" si="2"/>
        <v>SVE</v>
      </c>
    </row>
    <row r="184" spans="1:6" x14ac:dyDescent="0.25">
      <c r="A184" t="s">
        <v>459</v>
      </c>
      <c r="B184" t="s">
        <v>321</v>
      </c>
      <c r="C184" t="s">
        <v>322</v>
      </c>
      <c r="D184" t="s">
        <v>667</v>
      </c>
      <c r="F184" t="str">
        <f t="shared" si="2"/>
        <v>TA</v>
      </c>
    </row>
    <row r="185" spans="1:6" x14ac:dyDescent="0.25">
      <c r="A185" t="s">
        <v>459</v>
      </c>
      <c r="B185" t="s">
        <v>319</v>
      </c>
      <c r="C185" t="s">
        <v>320</v>
      </c>
      <c r="D185" t="s">
        <v>668</v>
      </c>
      <c r="F185" t="str">
        <f t="shared" si="2"/>
        <v>TAM</v>
      </c>
    </row>
    <row r="186" spans="1:6" x14ac:dyDescent="0.25">
      <c r="A186" t="s">
        <v>459</v>
      </c>
      <c r="B186" t="s">
        <v>323</v>
      </c>
      <c r="C186" t="s">
        <v>324</v>
      </c>
      <c r="D186" t="s">
        <v>669</v>
      </c>
      <c r="F186" t="str">
        <f t="shared" si="2"/>
        <v>TAY</v>
      </c>
    </row>
    <row r="187" spans="1:6" x14ac:dyDescent="0.25">
      <c r="A187" t="s">
        <v>459</v>
      </c>
      <c r="B187" t="s">
        <v>325</v>
      </c>
      <c r="C187" t="s">
        <v>326</v>
      </c>
      <c r="D187" t="s">
        <v>670</v>
      </c>
      <c r="F187" t="str">
        <f t="shared" si="2"/>
        <v>TOM</v>
      </c>
    </row>
    <row r="188" spans="1:6" x14ac:dyDescent="0.25">
      <c r="A188" t="s">
        <v>459</v>
      </c>
      <c r="B188" t="s">
        <v>327</v>
      </c>
      <c r="C188" t="s">
        <v>328</v>
      </c>
      <c r="D188" t="s">
        <v>671</v>
      </c>
      <c r="F188" t="str">
        <f t="shared" si="2"/>
        <v>TUL</v>
      </c>
    </row>
    <row r="189" spans="1:6" x14ac:dyDescent="0.25">
      <c r="A189" t="s">
        <v>459</v>
      </c>
      <c r="B189" t="s">
        <v>329</v>
      </c>
      <c r="C189" t="s">
        <v>330</v>
      </c>
      <c r="D189" t="s">
        <v>672</v>
      </c>
      <c r="F189" t="str">
        <f t="shared" si="2"/>
        <v>TVE</v>
      </c>
    </row>
    <row r="190" spans="1:6" x14ac:dyDescent="0.25">
      <c r="A190" t="s">
        <v>459</v>
      </c>
      <c r="B190" t="s">
        <v>333</v>
      </c>
      <c r="C190" t="s">
        <v>334</v>
      </c>
      <c r="D190" t="s">
        <v>673</v>
      </c>
      <c r="F190" t="str">
        <f t="shared" si="2"/>
        <v>TY</v>
      </c>
    </row>
    <row r="191" spans="1:6" x14ac:dyDescent="0.25">
      <c r="A191" t="s">
        <v>459</v>
      </c>
      <c r="B191" t="s">
        <v>331</v>
      </c>
      <c r="C191" t="s">
        <v>332</v>
      </c>
      <c r="D191" t="s">
        <v>674</v>
      </c>
      <c r="F191" t="str">
        <f t="shared" si="2"/>
        <v>TYU</v>
      </c>
    </row>
    <row r="192" spans="1:6" x14ac:dyDescent="0.25">
      <c r="A192" t="s">
        <v>459</v>
      </c>
      <c r="B192" t="s">
        <v>335</v>
      </c>
      <c r="C192" t="s">
        <v>336</v>
      </c>
      <c r="D192" t="s">
        <v>675</v>
      </c>
      <c r="F192" t="str">
        <f t="shared" si="2"/>
        <v>UD</v>
      </c>
    </row>
    <row r="193" spans="1:6" x14ac:dyDescent="0.25">
      <c r="A193" t="s">
        <v>459</v>
      </c>
      <c r="B193" t="s">
        <v>337</v>
      </c>
      <c r="C193" t="s">
        <v>338</v>
      </c>
      <c r="D193" t="s">
        <v>676</v>
      </c>
      <c r="F193" t="str">
        <f t="shared" si="2"/>
        <v>ULY</v>
      </c>
    </row>
    <row r="194" spans="1:6" x14ac:dyDescent="0.25">
      <c r="A194" t="s">
        <v>459</v>
      </c>
      <c r="B194" t="s">
        <v>339</v>
      </c>
      <c r="C194" t="s">
        <v>340</v>
      </c>
      <c r="D194" t="s">
        <v>677</v>
      </c>
      <c r="F194" t="str">
        <f t="shared" si="2"/>
        <v>UOB</v>
      </c>
    </row>
    <row r="195" spans="1:6" x14ac:dyDescent="0.25">
      <c r="A195" t="s">
        <v>459</v>
      </c>
      <c r="B195" t="s">
        <v>343</v>
      </c>
      <c r="C195" t="s">
        <v>344</v>
      </c>
      <c r="D195" t="s">
        <v>678</v>
      </c>
      <c r="F195" t="str">
        <f t="shared" ref="F195:F258" si="3">IF(E195="",C195,E195)</f>
        <v>VGG</v>
      </c>
    </row>
    <row r="196" spans="1:6" x14ac:dyDescent="0.25">
      <c r="A196" t="s">
        <v>459</v>
      </c>
      <c r="B196" t="s">
        <v>341</v>
      </c>
      <c r="C196" t="s">
        <v>342</v>
      </c>
      <c r="D196" t="s">
        <v>679</v>
      </c>
      <c r="F196" t="str">
        <f t="shared" si="3"/>
        <v>VLA</v>
      </c>
    </row>
    <row r="197" spans="1:6" x14ac:dyDescent="0.25">
      <c r="A197" t="s">
        <v>459</v>
      </c>
      <c r="B197" t="s">
        <v>345</v>
      </c>
      <c r="C197" t="s">
        <v>346</v>
      </c>
      <c r="D197" t="s">
        <v>680</v>
      </c>
      <c r="F197" t="str">
        <f t="shared" si="3"/>
        <v>VLG</v>
      </c>
    </row>
    <row r="198" spans="1:6" x14ac:dyDescent="0.25">
      <c r="A198" t="s">
        <v>459</v>
      </c>
      <c r="B198" t="s">
        <v>347</v>
      </c>
      <c r="C198" t="s">
        <v>348</v>
      </c>
      <c r="D198" t="s">
        <v>681</v>
      </c>
      <c r="F198" t="str">
        <f t="shared" si="3"/>
        <v>VOR</v>
      </c>
    </row>
    <row r="199" spans="1:6" x14ac:dyDescent="0.25">
      <c r="A199" t="s">
        <v>459</v>
      </c>
      <c r="B199" t="s">
        <v>349</v>
      </c>
      <c r="C199" t="s">
        <v>350</v>
      </c>
      <c r="D199" t="s">
        <v>682</v>
      </c>
      <c r="F199" t="str">
        <f t="shared" si="3"/>
        <v>YAN</v>
      </c>
    </row>
    <row r="200" spans="1:6" x14ac:dyDescent="0.25">
      <c r="A200" t="s">
        <v>459</v>
      </c>
      <c r="B200" t="s">
        <v>351</v>
      </c>
      <c r="C200" t="s">
        <v>352</v>
      </c>
      <c r="D200" t="s">
        <v>683</v>
      </c>
      <c r="F200" t="str">
        <f t="shared" si="3"/>
        <v>YAR</v>
      </c>
    </row>
    <row r="201" spans="1:6" x14ac:dyDescent="0.25">
      <c r="A201" t="s">
        <v>459</v>
      </c>
      <c r="B201" t="s">
        <v>353</v>
      </c>
      <c r="C201" t="s">
        <v>354</v>
      </c>
      <c r="D201" t="s">
        <v>684</v>
      </c>
      <c r="F201" t="str">
        <f t="shared" si="3"/>
        <v>YEV</v>
      </c>
    </row>
    <row r="202" spans="1:6" x14ac:dyDescent="0.25">
      <c r="A202" t="s">
        <v>459</v>
      </c>
      <c r="B202" t="s">
        <v>492</v>
      </c>
      <c r="C202" t="s">
        <v>493</v>
      </c>
      <c r="D202" t="s">
        <v>685</v>
      </c>
      <c r="F202" t="str">
        <f t="shared" si="3"/>
        <v>ZAB</v>
      </c>
    </row>
    <row r="203" spans="1:6" x14ac:dyDescent="0.25">
      <c r="A203" t="s">
        <v>355</v>
      </c>
      <c r="B203" t="s">
        <v>363</v>
      </c>
      <c r="C203" t="s">
        <v>364</v>
      </c>
      <c r="D203" t="s">
        <v>686</v>
      </c>
      <c r="F203" t="str">
        <f t="shared" si="3"/>
        <v>AA</v>
      </c>
    </row>
    <row r="204" spans="1:6" x14ac:dyDescent="0.25">
      <c r="A204" t="s">
        <v>355</v>
      </c>
      <c r="B204" t="s">
        <v>365</v>
      </c>
      <c r="C204" t="s">
        <v>366</v>
      </c>
      <c r="D204" t="s">
        <v>687</v>
      </c>
      <c r="F204" t="str">
        <f t="shared" si="3"/>
        <v>AE</v>
      </c>
    </row>
    <row r="205" spans="1:6" x14ac:dyDescent="0.25">
      <c r="A205" t="s">
        <v>355</v>
      </c>
      <c r="B205" t="s">
        <v>357</v>
      </c>
      <c r="C205" t="s">
        <v>358</v>
      </c>
      <c r="D205" t="s">
        <v>688</v>
      </c>
      <c r="F205" t="str">
        <f t="shared" si="3"/>
        <v>AK</v>
      </c>
    </row>
    <row r="206" spans="1:6" x14ac:dyDescent="0.25">
      <c r="A206" t="s">
        <v>355</v>
      </c>
      <c r="B206" t="s">
        <v>356</v>
      </c>
      <c r="C206" t="s">
        <v>7</v>
      </c>
      <c r="D206" t="s">
        <v>689</v>
      </c>
      <c r="F206" t="str">
        <f t="shared" si="3"/>
        <v>AL</v>
      </c>
    </row>
    <row r="207" spans="1:6" x14ac:dyDescent="0.25">
      <c r="A207" t="s">
        <v>355</v>
      </c>
      <c r="B207" t="s">
        <v>367</v>
      </c>
      <c r="C207" t="s">
        <v>9</v>
      </c>
      <c r="D207" t="s">
        <v>690</v>
      </c>
      <c r="F207" t="str">
        <f t="shared" si="3"/>
        <v>AP</v>
      </c>
    </row>
    <row r="208" spans="1:6" x14ac:dyDescent="0.25">
      <c r="A208" t="s">
        <v>355</v>
      </c>
      <c r="B208" t="s">
        <v>362</v>
      </c>
      <c r="C208" t="s">
        <v>125</v>
      </c>
      <c r="D208" t="s">
        <v>691</v>
      </c>
      <c r="F208" t="str">
        <f t="shared" si="3"/>
        <v>AR</v>
      </c>
    </row>
    <row r="209" spans="1:6" x14ac:dyDescent="0.25">
      <c r="A209" t="s">
        <v>355</v>
      </c>
      <c r="B209" t="s">
        <v>359</v>
      </c>
      <c r="C209" t="s">
        <v>127</v>
      </c>
      <c r="D209" t="s">
        <v>692</v>
      </c>
      <c r="F209" t="str">
        <f t="shared" si="3"/>
        <v>AS</v>
      </c>
    </row>
    <row r="210" spans="1:6" x14ac:dyDescent="0.25">
      <c r="A210" t="s">
        <v>355</v>
      </c>
      <c r="B210" t="s">
        <v>360</v>
      </c>
      <c r="C210" t="s">
        <v>361</v>
      </c>
      <c r="D210" t="s">
        <v>693</v>
      </c>
      <c r="F210" t="str">
        <f t="shared" si="3"/>
        <v>AZ</v>
      </c>
    </row>
    <row r="211" spans="1:6" x14ac:dyDescent="0.25">
      <c r="A211" t="s">
        <v>355</v>
      </c>
      <c r="B211" t="s">
        <v>368</v>
      </c>
      <c r="C211" t="s">
        <v>369</v>
      </c>
      <c r="D211" t="s">
        <v>694</v>
      </c>
      <c r="F211" t="str">
        <f t="shared" si="3"/>
        <v>CA</v>
      </c>
    </row>
    <row r="212" spans="1:6" x14ac:dyDescent="0.25">
      <c r="A212" t="s">
        <v>355</v>
      </c>
      <c r="B212" t="s">
        <v>370</v>
      </c>
      <c r="C212" t="s">
        <v>371</v>
      </c>
      <c r="D212" t="s">
        <v>695</v>
      </c>
      <c r="F212" t="str">
        <f t="shared" si="3"/>
        <v>CO</v>
      </c>
    </row>
    <row r="213" spans="1:6" x14ac:dyDescent="0.25">
      <c r="A213" t="s">
        <v>355</v>
      </c>
      <c r="B213" t="s">
        <v>372</v>
      </c>
      <c r="C213" t="s">
        <v>373</v>
      </c>
      <c r="D213" t="s">
        <v>696</v>
      </c>
      <c r="F213" t="str">
        <f t="shared" si="3"/>
        <v>CT</v>
      </c>
    </row>
    <row r="214" spans="1:6" x14ac:dyDescent="0.25">
      <c r="A214" t="s">
        <v>355</v>
      </c>
      <c r="B214" t="s">
        <v>376</v>
      </c>
      <c r="C214" t="s">
        <v>377</v>
      </c>
      <c r="D214" t="s">
        <v>697</v>
      </c>
      <c r="F214" t="str">
        <f t="shared" si="3"/>
        <v>DC</v>
      </c>
    </row>
    <row r="215" spans="1:6" x14ac:dyDescent="0.25">
      <c r="A215" t="s">
        <v>355</v>
      </c>
      <c r="B215" t="s">
        <v>374</v>
      </c>
      <c r="C215" t="s">
        <v>375</v>
      </c>
      <c r="D215" t="s">
        <v>698</v>
      </c>
      <c r="F215" t="str">
        <f t="shared" si="3"/>
        <v>DE</v>
      </c>
    </row>
    <row r="216" spans="1:6" x14ac:dyDescent="0.25">
      <c r="A216" t="s">
        <v>355</v>
      </c>
      <c r="B216" t="s">
        <v>378</v>
      </c>
      <c r="C216" t="s">
        <v>379</v>
      </c>
      <c r="D216" t="s">
        <v>699</v>
      </c>
      <c r="F216" t="str">
        <f t="shared" si="3"/>
        <v>FL</v>
      </c>
    </row>
    <row r="217" spans="1:6" x14ac:dyDescent="0.25">
      <c r="A217" t="s">
        <v>355</v>
      </c>
      <c r="B217" t="s">
        <v>380</v>
      </c>
      <c r="C217" t="s">
        <v>139</v>
      </c>
      <c r="D217" t="s">
        <v>700</v>
      </c>
      <c r="F217" t="str">
        <f t="shared" si="3"/>
        <v>GA</v>
      </c>
    </row>
    <row r="218" spans="1:6" x14ac:dyDescent="0.25">
      <c r="A218" t="s">
        <v>355</v>
      </c>
      <c r="B218" t="s">
        <v>381</v>
      </c>
      <c r="C218" t="s">
        <v>382</v>
      </c>
      <c r="D218" t="s">
        <v>701</v>
      </c>
      <c r="F218" t="str">
        <f t="shared" si="3"/>
        <v>GU</v>
      </c>
    </row>
    <row r="219" spans="1:6" x14ac:dyDescent="0.25">
      <c r="A219" t="s">
        <v>355</v>
      </c>
      <c r="B219" t="s">
        <v>383</v>
      </c>
      <c r="C219" t="s">
        <v>384</v>
      </c>
      <c r="D219" t="s">
        <v>702</v>
      </c>
      <c r="F219" t="str">
        <f t="shared" si="3"/>
        <v>HI</v>
      </c>
    </row>
    <row r="220" spans="1:6" x14ac:dyDescent="0.25">
      <c r="A220" t="s">
        <v>355</v>
      </c>
      <c r="B220" t="s">
        <v>390</v>
      </c>
      <c r="C220" t="s">
        <v>391</v>
      </c>
      <c r="D220" t="s">
        <v>703</v>
      </c>
      <c r="F220" t="str">
        <f t="shared" si="3"/>
        <v>IA</v>
      </c>
    </row>
    <row r="221" spans="1:6" x14ac:dyDescent="0.25">
      <c r="A221" t="s">
        <v>355</v>
      </c>
      <c r="B221" t="s">
        <v>385</v>
      </c>
      <c r="C221" t="s">
        <v>386</v>
      </c>
      <c r="D221" t="s">
        <v>704</v>
      </c>
      <c r="F221" t="str">
        <f t="shared" si="3"/>
        <v>ID</v>
      </c>
    </row>
    <row r="222" spans="1:6" x14ac:dyDescent="0.25">
      <c r="A222" t="s">
        <v>355</v>
      </c>
      <c r="B222" t="s">
        <v>387</v>
      </c>
      <c r="C222" t="s">
        <v>388</v>
      </c>
      <c r="D222" t="s">
        <v>705</v>
      </c>
      <c r="F222" t="str">
        <f t="shared" si="3"/>
        <v>IL</v>
      </c>
    </row>
    <row r="223" spans="1:6" x14ac:dyDescent="0.25">
      <c r="A223" t="s">
        <v>355</v>
      </c>
      <c r="B223" t="s">
        <v>389</v>
      </c>
      <c r="C223" t="s">
        <v>216</v>
      </c>
      <c r="D223" t="s">
        <v>706</v>
      </c>
      <c r="F223" t="str">
        <f t="shared" si="3"/>
        <v>IN</v>
      </c>
    </row>
    <row r="224" spans="1:6" x14ac:dyDescent="0.25">
      <c r="A224" t="s">
        <v>355</v>
      </c>
      <c r="B224" t="s">
        <v>392</v>
      </c>
      <c r="C224" t="s">
        <v>393</v>
      </c>
      <c r="D224" t="s">
        <v>707</v>
      </c>
      <c r="F224" t="str">
        <f t="shared" si="3"/>
        <v>KS</v>
      </c>
    </row>
    <row r="225" spans="1:6" x14ac:dyDescent="0.25">
      <c r="A225" t="s">
        <v>355</v>
      </c>
      <c r="B225" t="s">
        <v>394</v>
      </c>
      <c r="C225" t="s">
        <v>395</v>
      </c>
      <c r="D225" t="s">
        <v>708</v>
      </c>
      <c r="F225" t="str">
        <f t="shared" si="3"/>
        <v>KY</v>
      </c>
    </row>
    <row r="226" spans="1:6" x14ac:dyDescent="0.25">
      <c r="A226" t="s">
        <v>355</v>
      </c>
      <c r="B226" t="s">
        <v>396</v>
      </c>
      <c r="C226" t="s">
        <v>397</v>
      </c>
      <c r="D226" t="s">
        <v>709</v>
      </c>
      <c r="F226" t="str">
        <f t="shared" si="3"/>
        <v>LA</v>
      </c>
    </row>
    <row r="227" spans="1:6" x14ac:dyDescent="0.25">
      <c r="A227" t="s">
        <v>355</v>
      </c>
      <c r="B227" t="s">
        <v>401</v>
      </c>
      <c r="C227" t="s">
        <v>25</v>
      </c>
      <c r="D227" t="s">
        <v>710</v>
      </c>
      <c r="F227" t="str">
        <f t="shared" si="3"/>
        <v>MA</v>
      </c>
    </row>
    <row r="228" spans="1:6" x14ac:dyDescent="0.25">
      <c r="A228" t="s">
        <v>355</v>
      </c>
      <c r="B228" t="s">
        <v>399</v>
      </c>
      <c r="C228" t="s">
        <v>400</v>
      </c>
      <c r="D228" t="s">
        <v>711</v>
      </c>
      <c r="F228" t="str">
        <f t="shared" si="3"/>
        <v>MD</v>
      </c>
    </row>
    <row r="229" spans="1:6" x14ac:dyDescent="0.25">
      <c r="A229" t="s">
        <v>355</v>
      </c>
      <c r="B229" t="s">
        <v>398</v>
      </c>
      <c r="C229" t="s">
        <v>267</v>
      </c>
      <c r="D229" t="s">
        <v>712</v>
      </c>
      <c r="F229" t="str">
        <f t="shared" si="3"/>
        <v>ME</v>
      </c>
    </row>
    <row r="230" spans="1:6" x14ac:dyDescent="0.25">
      <c r="A230" t="s">
        <v>355</v>
      </c>
      <c r="B230" t="s">
        <v>402</v>
      </c>
      <c r="C230" t="s">
        <v>403</v>
      </c>
      <c r="D230" t="s">
        <v>713</v>
      </c>
      <c r="F230" t="str">
        <f t="shared" si="3"/>
        <v>MI</v>
      </c>
    </row>
    <row r="231" spans="1:6" x14ac:dyDescent="0.25">
      <c r="A231" t="s">
        <v>355</v>
      </c>
      <c r="B231" t="s">
        <v>404</v>
      </c>
      <c r="C231" t="s">
        <v>160</v>
      </c>
      <c r="D231" t="s">
        <v>714</v>
      </c>
      <c r="F231" t="str">
        <f t="shared" si="3"/>
        <v>MN</v>
      </c>
    </row>
    <row r="232" spans="1:6" x14ac:dyDescent="0.25">
      <c r="A232" t="s">
        <v>355</v>
      </c>
      <c r="B232" t="s">
        <v>406</v>
      </c>
      <c r="C232" t="s">
        <v>269</v>
      </c>
      <c r="D232" t="s">
        <v>715</v>
      </c>
      <c r="F232" t="str">
        <f t="shared" si="3"/>
        <v>MO</v>
      </c>
    </row>
    <row r="233" spans="1:6" x14ac:dyDescent="0.25">
      <c r="A233" t="s">
        <v>355</v>
      </c>
      <c r="B233" t="s">
        <v>424</v>
      </c>
      <c r="C233" t="s">
        <v>157</v>
      </c>
      <c r="D233" t="s">
        <v>716</v>
      </c>
      <c r="F233" t="str">
        <f t="shared" si="3"/>
        <v>MP</v>
      </c>
    </row>
    <row r="234" spans="1:6" x14ac:dyDescent="0.25">
      <c r="A234" t="s">
        <v>355</v>
      </c>
      <c r="B234" t="s">
        <v>405</v>
      </c>
      <c r="C234" t="s">
        <v>29</v>
      </c>
      <c r="D234" t="s">
        <v>717</v>
      </c>
      <c r="F234" t="str">
        <f t="shared" si="3"/>
        <v>MS</v>
      </c>
    </row>
    <row r="235" spans="1:6" x14ac:dyDescent="0.25">
      <c r="A235" t="s">
        <v>355</v>
      </c>
      <c r="B235" t="s">
        <v>407</v>
      </c>
      <c r="C235" t="s">
        <v>27</v>
      </c>
      <c r="D235" t="s">
        <v>718</v>
      </c>
      <c r="F235" t="str">
        <f t="shared" si="3"/>
        <v>MT</v>
      </c>
    </row>
    <row r="236" spans="1:6" x14ac:dyDescent="0.25">
      <c r="A236" t="s">
        <v>355</v>
      </c>
      <c r="B236" t="s">
        <v>420</v>
      </c>
      <c r="C236" t="s">
        <v>421</v>
      </c>
      <c r="D236" t="s">
        <v>719</v>
      </c>
      <c r="F236" t="str">
        <f t="shared" si="3"/>
        <v>NC</v>
      </c>
    </row>
    <row r="237" spans="1:6" x14ac:dyDescent="0.25">
      <c r="A237" t="s">
        <v>355</v>
      </c>
      <c r="B237" t="s">
        <v>422</v>
      </c>
      <c r="C237" t="s">
        <v>423</v>
      </c>
      <c r="D237" t="s">
        <v>720</v>
      </c>
      <c r="F237" t="str">
        <f t="shared" si="3"/>
        <v>ND</v>
      </c>
    </row>
    <row r="238" spans="1:6" x14ac:dyDescent="0.25">
      <c r="A238" t="s">
        <v>355</v>
      </c>
      <c r="B238" t="s">
        <v>408</v>
      </c>
      <c r="C238" t="s">
        <v>409</v>
      </c>
      <c r="D238" t="s">
        <v>721</v>
      </c>
      <c r="F238" t="str">
        <f t="shared" si="3"/>
        <v>NE</v>
      </c>
    </row>
    <row r="239" spans="1:6" x14ac:dyDescent="0.25">
      <c r="A239" t="s">
        <v>355</v>
      </c>
      <c r="B239" t="s">
        <v>412</v>
      </c>
      <c r="C239" t="s">
        <v>413</v>
      </c>
      <c r="D239" t="s">
        <v>722</v>
      </c>
      <c r="F239" t="str">
        <f t="shared" si="3"/>
        <v>NH</v>
      </c>
    </row>
    <row r="240" spans="1:6" x14ac:dyDescent="0.25">
      <c r="A240" t="s">
        <v>355</v>
      </c>
      <c r="B240" t="s">
        <v>414</v>
      </c>
      <c r="C240" t="s">
        <v>415</v>
      </c>
      <c r="D240" t="s">
        <v>723</v>
      </c>
      <c r="F240" t="str">
        <f t="shared" si="3"/>
        <v>NJ</v>
      </c>
    </row>
    <row r="241" spans="1:6" x14ac:dyDescent="0.25">
      <c r="A241" t="s">
        <v>355</v>
      </c>
      <c r="B241" t="s">
        <v>416</v>
      </c>
      <c r="C241" t="s">
        <v>417</v>
      </c>
      <c r="D241" t="s">
        <v>724</v>
      </c>
      <c r="F241" t="str">
        <f t="shared" si="3"/>
        <v>NM</v>
      </c>
    </row>
    <row r="242" spans="1:6" x14ac:dyDescent="0.25">
      <c r="A242" t="s">
        <v>355</v>
      </c>
      <c r="B242" t="s">
        <v>410</v>
      </c>
      <c r="C242" t="s">
        <v>411</v>
      </c>
      <c r="D242" t="s">
        <v>725</v>
      </c>
      <c r="F242" t="str">
        <f t="shared" si="3"/>
        <v>NV</v>
      </c>
    </row>
    <row r="243" spans="1:6" x14ac:dyDescent="0.25">
      <c r="A243" t="s">
        <v>355</v>
      </c>
      <c r="B243" t="s">
        <v>418</v>
      </c>
      <c r="C243" t="s">
        <v>419</v>
      </c>
      <c r="D243" t="s">
        <v>726</v>
      </c>
      <c r="F243" t="str">
        <f t="shared" si="3"/>
        <v>NY</v>
      </c>
    </row>
    <row r="244" spans="1:6" x14ac:dyDescent="0.25">
      <c r="A244" t="s">
        <v>355</v>
      </c>
      <c r="B244" t="s">
        <v>425</v>
      </c>
      <c r="C244" t="s">
        <v>426</v>
      </c>
      <c r="D244" t="s">
        <v>727</v>
      </c>
      <c r="F244" t="str">
        <f t="shared" si="3"/>
        <v>OH</v>
      </c>
    </row>
    <row r="245" spans="1:6" x14ac:dyDescent="0.25">
      <c r="A245" t="s">
        <v>355</v>
      </c>
      <c r="B245" t="s">
        <v>427</v>
      </c>
      <c r="C245" t="s">
        <v>428</v>
      </c>
      <c r="D245" t="s">
        <v>728</v>
      </c>
      <c r="F245" t="str">
        <f t="shared" si="3"/>
        <v>OK</v>
      </c>
    </row>
    <row r="246" spans="1:6" x14ac:dyDescent="0.25">
      <c r="A246" t="s">
        <v>355</v>
      </c>
      <c r="B246" t="s">
        <v>429</v>
      </c>
      <c r="C246" t="s">
        <v>167</v>
      </c>
      <c r="D246" t="s">
        <v>729</v>
      </c>
      <c r="F246" t="str">
        <f t="shared" si="3"/>
        <v>OR</v>
      </c>
    </row>
    <row r="247" spans="1:6" x14ac:dyDescent="0.25">
      <c r="A247" t="s">
        <v>355</v>
      </c>
      <c r="B247" t="s">
        <v>430</v>
      </c>
      <c r="C247" t="s">
        <v>33</v>
      </c>
      <c r="D247" t="s">
        <v>730</v>
      </c>
      <c r="F247" t="str">
        <f t="shared" si="3"/>
        <v>PA</v>
      </c>
    </row>
    <row r="248" spans="1:6" x14ac:dyDescent="0.25">
      <c r="A248" t="s">
        <v>355</v>
      </c>
      <c r="B248" t="s">
        <v>431</v>
      </c>
      <c r="C248" t="s">
        <v>37</v>
      </c>
      <c r="D248" t="s">
        <v>731</v>
      </c>
      <c r="F248" t="str">
        <f t="shared" si="3"/>
        <v>PR</v>
      </c>
    </row>
    <row r="249" spans="1:6" x14ac:dyDescent="0.25">
      <c r="A249" t="s">
        <v>355</v>
      </c>
      <c r="B249" t="s">
        <v>432</v>
      </c>
      <c r="C249" t="s">
        <v>433</v>
      </c>
      <c r="D249" t="s">
        <v>732</v>
      </c>
      <c r="F249" t="str">
        <f t="shared" si="3"/>
        <v>RI</v>
      </c>
    </row>
    <row r="250" spans="1:6" x14ac:dyDescent="0.25">
      <c r="A250" t="s">
        <v>355</v>
      </c>
      <c r="B250" t="s">
        <v>434</v>
      </c>
      <c r="C250" t="s">
        <v>53</v>
      </c>
      <c r="D250" t="s">
        <v>733</v>
      </c>
      <c r="F250" t="str">
        <f t="shared" si="3"/>
        <v>SC</v>
      </c>
    </row>
    <row r="251" spans="1:6" x14ac:dyDescent="0.25">
      <c r="A251" t="s">
        <v>355</v>
      </c>
      <c r="B251" t="s">
        <v>435</v>
      </c>
      <c r="C251" t="s">
        <v>436</v>
      </c>
      <c r="D251" t="s">
        <v>734</v>
      </c>
      <c r="F251" t="str">
        <f t="shared" si="3"/>
        <v>SD</v>
      </c>
    </row>
    <row r="252" spans="1:6" x14ac:dyDescent="0.25">
      <c r="A252" t="s">
        <v>355</v>
      </c>
      <c r="B252" t="s">
        <v>437</v>
      </c>
      <c r="C252" t="s">
        <v>174</v>
      </c>
      <c r="D252" t="s">
        <v>735</v>
      </c>
      <c r="F252" t="str">
        <f t="shared" si="3"/>
        <v>TN</v>
      </c>
    </row>
    <row r="253" spans="1:6" x14ac:dyDescent="0.25">
      <c r="A253" t="s">
        <v>355</v>
      </c>
      <c r="B253" t="s">
        <v>438</v>
      </c>
      <c r="C253" t="s">
        <v>439</v>
      </c>
      <c r="D253" t="s">
        <v>736</v>
      </c>
      <c r="F253" t="str">
        <f t="shared" si="3"/>
        <v>TX</v>
      </c>
    </row>
    <row r="254" spans="1:6" x14ac:dyDescent="0.25">
      <c r="A254" t="s">
        <v>355</v>
      </c>
      <c r="B254" t="s">
        <v>440</v>
      </c>
      <c r="C254" t="s">
        <v>441</v>
      </c>
      <c r="D254" t="s">
        <v>737</v>
      </c>
      <c r="F254" t="str">
        <f t="shared" si="3"/>
        <v>UM</v>
      </c>
    </row>
    <row r="255" spans="1:6" x14ac:dyDescent="0.25">
      <c r="A255" t="s">
        <v>355</v>
      </c>
      <c r="B255" t="s">
        <v>442</v>
      </c>
      <c r="C255" t="s">
        <v>443</v>
      </c>
      <c r="D255" t="s">
        <v>738</v>
      </c>
      <c r="F255" t="str">
        <f t="shared" si="3"/>
        <v>UT</v>
      </c>
    </row>
    <row r="256" spans="1:6" x14ac:dyDescent="0.25">
      <c r="A256" t="s">
        <v>355</v>
      </c>
      <c r="B256" t="s">
        <v>448</v>
      </c>
      <c r="C256" t="s">
        <v>449</v>
      </c>
      <c r="D256" t="s">
        <v>739</v>
      </c>
      <c r="F256" t="str">
        <f t="shared" si="3"/>
        <v>VA</v>
      </c>
    </row>
    <row r="257" spans="1:6" x14ac:dyDescent="0.25">
      <c r="A257" t="s">
        <v>355</v>
      </c>
      <c r="B257" t="s">
        <v>446</v>
      </c>
      <c r="C257" t="s">
        <v>447</v>
      </c>
      <c r="D257" t="s">
        <v>740</v>
      </c>
      <c r="F257" t="str">
        <f t="shared" si="3"/>
        <v>VI</v>
      </c>
    </row>
    <row r="258" spans="1:6" x14ac:dyDescent="0.25">
      <c r="A258" t="s">
        <v>355</v>
      </c>
      <c r="B258" t="s">
        <v>444</v>
      </c>
      <c r="C258" t="s">
        <v>445</v>
      </c>
      <c r="D258" t="s">
        <v>741</v>
      </c>
      <c r="F258" t="str">
        <f t="shared" si="3"/>
        <v>VT</v>
      </c>
    </row>
    <row r="259" spans="1:6" x14ac:dyDescent="0.25">
      <c r="A259" t="s">
        <v>355</v>
      </c>
      <c r="B259" t="s">
        <v>450</v>
      </c>
      <c r="C259" t="s">
        <v>451</v>
      </c>
      <c r="D259" t="s">
        <v>742</v>
      </c>
      <c r="F259" t="str">
        <f t="shared" ref="F259:F262" si="4">IF(E259="",C259,E259)</f>
        <v>WA</v>
      </c>
    </row>
    <row r="260" spans="1:6" x14ac:dyDescent="0.25">
      <c r="A260" t="s">
        <v>355</v>
      </c>
      <c r="B260" t="s">
        <v>454</v>
      </c>
      <c r="C260" t="s">
        <v>455</v>
      </c>
      <c r="D260" t="s">
        <v>743</v>
      </c>
      <c r="F260" t="str">
        <f t="shared" si="4"/>
        <v>WI</v>
      </c>
    </row>
    <row r="261" spans="1:6" x14ac:dyDescent="0.25">
      <c r="A261" t="s">
        <v>355</v>
      </c>
      <c r="B261" t="s">
        <v>452</v>
      </c>
      <c r="C261" t="s">
        <v>453</v>
      </c>
      <c r="D261" t="s">
        <v>744</v>
      </c>
      <c r="F261" t="str">
        <f t="shared" si="4"/>
        <v>WV</v>
      </c>
    </row>
    <row r="262" spans="1:6" x14ac:dyDescent="0.25">
      <c r="A262" t="s">
        <v>355</v>
      </c>
      <c r="B262" t="s">
        <v>456</v>
      </c>
      <c r="C262" t="s">
        <v>457</v>
      </c>
      <c r="D262" t="s">
        <v>745</v>
      </c>
      <c r="F262" t="str">
        <f t="shared" si="4"/>
        <v>WY</v>
      </c>
    </row>
  </sheetData>
  <sortState xmlns:xlrd2="http://schemas.microsoft.com/office/spreadsheetml/2017/richdata2" ref="E113:E188">
    <sortCondition ref="E113"/>
  </sortState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71E9A-55BE-4712-8301-4B97EFA7F99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IEMM_StatesMap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2017-08-18T06:31:20Z</dcterms:created>
  <dcterms:modified xsi:type="dcterms:W3CDTF">2020-06-26T12:20:07Z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584438502788543</vt:r8>
  </property>
</Properties>
</file>