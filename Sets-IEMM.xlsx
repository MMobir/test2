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E981D4CB-AB5B-4CB7-AE3F-946A0507DB18}" xr6:coauthVersionLast="47" xr6:coauthVersionMax="47" xr10:uidLastSave="{00000000-0000-0000-0000-000000000000}"/>
  <bookViews>
    <workbookView xWindow="1520" yWindow="1520" windowWidth="14400" windowHeight="8210" xr2:uid="{00000000-000D-0000-FFFF-FFFF00000000}"/>
  </bookViews>
  <sheets>
    <sheet name="SetsEditor- Proc" sheetId="10" r:id="rId1"/>
    <sheet name="TechSup" sheetId="4" r:id="rId2"/>
    <sheet name="Comm" sheetId="5" r:id="rId3"/>
    <sheet name="EFD classification" sheetId="3" r:id="rId4"/>
    <sheet name="TechTrade" sheetId="6" r:id="rId5"/>
    <sheet name="Grids" sheetId="7" r:id="rId6"/>
    <sheet name="SolWin" sheetId="8" r:id="rId7"/>
    <sheet name="ETL" sheetId="9" r:id="rId8"/>
  </sheets>
  <definedNames>
    <definedName name="_xlnm._FilterDatabase" localSheetId="3" hidden="1">'EFD classification'!$H$3:$J$78</definedName>
    <definedName name="_xlnm._FilterDatabase" localSheetId="1" hidden="1">TechSup!$F$3:$G$61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6" i="4" l="1"/>
  <c r="F86" i="4"/>
  <c r="E86" i="4"/>
  <c r="H85" i="4"/>
  <c r="B81" i="4"/>
  <c r="F51" i="4"/>
  <c r="F52" i="4" s="1"/>
  <c r="F66" i="4" s="1"/>
  <c r="H68" i="4"/>
  <c r="H67" i="4"/>
  <c r="H66" i="4"/>
  <c r="H65" i="4"/>
  <c r="H64" i="4"/>
  <c r="H35" i="4"/>
  <c r="H46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G25" i="4" l="1"/>
  <c r="G7" i="4"/>
  <c r="G13" i="4"/>
  <c r="E20" i="4"/>
  <c r="E19" i="4"/>
  <c r="E16" i="4"/>
  <c r="H11" i="4"/>
  <c r="E11" i="4"/>
  <c r="E9" i="4"/>
  <c r="G31" i="8"/>
  <c r="H31" i="8" s="1"/>
  <c r="C31" i="8"/>
  <c r="G30" i="8"/>
  <c r="H30" i="8" s="1"/>
  <c r="C30" i="8"/>
  <c r="G29" i="8"/>
  <c r="H29" i="8" s="1"/>
  <c r="C29" i="8"/>
  <c r="G28" i="8"/>
  <c r="H28" i="8" s="1"/>
  <c r="C28" i="8"/>
  <c r="G27" i="8"/>
  <c r="H27" i="8" s="1"/>
  <c r="C27" i="8"/>
  <c r="G26" i="8"/>
  <c r="H26" i="8" s="1"/>
  <c r="C26" i="8"/>
  <c r="G25" i="8"/>
  <c r="H25" i="8" s="1"/>
  <c r="C25" i="8"/>
  <c r="G24" i="8"/>
  <c r="H24" i="8" s="1"/>
  <c r="C24" i="8"/>
  <c r="G23" i="8"/>
  <c r="H23" i="8" s="1"/>
  <c r="C23" i="8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14" i="8"/>
  <c r="H14" i="8" s="1"/>
  <c r="C15" i="8"/>
  <c r="C16" i="8"/>
  <c r="C17" i="8"/>
  <c r="C18" i="8"/>
  <c r="C19" i="8"/>
  <c r="C20" i="8"/>
  <c r="C21" i="8"/>
  <c r="C22" i="8"/>
  <c r="C14" i="8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4" i="8"/>
  <c r="H4" i="8" s="1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H40" i="4" s="1"/>
  <c r="G17" i="4"/>
  <c r="G34" i="4" s="1"/>
  <c r="H34" i="4" s="1"/>
  <c r="E53" i="4"/>
  <c r="F55" i="4"/>
  <c r="F65" i="4" s="1"/>
  <c r="F54" i="4"/>
  <c r="F53" i="4"/>
  <c r="E38" i="4"/>
  <c r="E49" i="4" s="1"/>
  <c r="E37" i="4"/>
  <c r="E48" i="4" s="1"/>
  <c r="E36" i="4"/>
  <c r="E47" i="4" s="1"/>
  <c r="E34" i="4"/>
  <c r="E45" i="4" s="1"/>
  <c r="E33" i="4"/>
  <c r="E44" i="4" s="1"/>
  <c r="E32" i="4"/>
  <c r="E43" i="4" s="1"/>
  <c r="E31" i="4"/>
  <c r="E42" i="4" s="1"/>
  <c r="E30" i="4"/>
  <c r="E41" i="4"/>
  <c r="E29" i="4"/>
  <c r="E40" i="4" s="1"/>
  <c r="E28" i="4"/>
  <c r="E52" i="4" s="1"/>
  <c r="E55" i="4" s="1"/>
  <c r="G10" i="4"/>
  <c r="G41" i="4" s="1"/>
  <c r="H41" i="4" s="1"/>
  <c r="G12" i="4"/>
  <c r="G31" i="4" s="1"/>
  <c r="H31" i="4" s="1"/>
  <c r="G14" i="4"/>
  <c r="G32" i="4" s="1"/>
  <c r="H32" i="4" s="1"/>
  <c r="G15" i="4"/>
  <c r="G44" i="4" s="1"/>
  <c r="H44" i="4" s="1"/>
  <c r="G23" i="4"/>
  <c r="G47" i="4" s="1"/>
  <c r="H47" i="4" s="1"/>
  <c r="G24" i="4"/>
  <c r="G48" i="4" s="1"/>
  <c r="H48" i="4" s="1"/>
  <c r="G26" i="4"/>
  <c r="G49" i="4" s="1"/>
  <c r="H49" i="4" s="1"/>
  <c r="G6" i="4"/>
  <c r="G28" i="4" s="1"/>
  <c r="H28" i="4" s="1"/>
  <c r="G33" i="4"/>
  <c r="H33" i="4" s="1"/>
  <c r="G39" i="4" l="1"/>
  <c r="H39" i="4" s="1"/>
  <c r="G43" i="4"/>
  <c r="H43" i="4" s="1"/>
  <c r="G38" i="4"/>
  <c r="H38" i="4" s="1"/>
  <c r="G30" i="4"/>
  <c r="H30" i="4" s="1"/>
  <c r="G36" i="4"/>
  <c r="H36" i="4" s="1"/>
  <c r="G45" i="4"/>
  <c r="H45" i="4" s="1"/>
  <c r="G29" i="4"/>
  <c r="H29" i="4" s="1"/>
  <c r="G42" i="4"/>
  <c r="H42" i="4" s="1"/>
  <c r="E39" i="4"/>
  <c r="G37" i="4"/>
  <c r="H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B69" authorId="0" shapeId="0" xr:uid="{E699EE90-56D9-4886-9B92-A6BC016AB6E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added to track hydrogen production
</t>
        </r>
      </text>
    </comment>
  </commentList>
</comments>
</file>

<file path=xl/sharedStrings.xml><?xml version="1.0" encoding="utf-8"?>
<sst xmlns="http://schemas.openxmlformats.org/spreadsheetml/2006/main" count="636" uniqueCount="335">
  <si>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</si>
  <si>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</si>
  <si>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</si>
  <si>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</si>
  <si>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</si>
  <si>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</si>
  <si>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</si>
  <si>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</si>
  <si>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</si>
  <si>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</si>
  <si>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</si>
  <si>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</si>
  <si>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</si>
  <si>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</si>
  <si>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</si>
  <si>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</si>
  <si>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</si>
  <si>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</si>
  <si>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</si>
  <si>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</si>
  <si>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</si>
  <si>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</si>
  <si>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</si>
  <si>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</si>
  <si>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</si>
  <si>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</si>
  <si>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</si>
  <si>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</si>
  <si>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</si>
  <si>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</si>
  <si>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</si>
  <si>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</si>
  <si>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</si>
  <si>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</si>
  <si>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</si>
  <si>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</si>
  <si>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</si>
  <si>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</si>
  <si>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</si>
  <si>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</si>
  <si>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</si>
  <si>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</si>
  <si>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</si>
  <si>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</si>
  <si>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</si>
  <si>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</si>
  <si>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</si>
  <si>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</si>
  <si>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</si>
  <si>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</si>
  <si>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</si>
  <si>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</si>
  <si>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</si>
  <si>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</si>
  <si>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</si>
  <si>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</si>
  <si>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</si>
  <si>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</si>
  <si>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</si>
  <si>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</si>
  <si>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</si>
  <si>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</si>
  <si>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</si>
  <si>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</si>
  <si>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</si>
  <si>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</si>
  <si>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</si>
  <si>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</si>
  <si>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</si>
  <si>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</si>
  <si>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</si>
  <si>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</si>
  <si>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</si>
  <si>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</si>
  <si>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</si>
  <si>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</si>
  <si>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</si>
  <si>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</si>
  <si>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</si>
  <si>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</si>
  <si>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</si>
  <si>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</si>
  <si>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</si>
  <si>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</si>
  <si>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</si>
  <si>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</si>
  <si>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</si>
  <si>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</si>
  <si>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</si>
  <si>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</si>
  <si>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</si>
  <si>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</si>
  <si>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</si>
  <si>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</si>
  <si>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</si>
  <si>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</si>
  <si>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</si>
  <si>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</si>
  <si>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</si>
  <si>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</si>
  <si>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</si>
  <si>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</si>
  <si>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</si>
  <si>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</si>
  <si>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</si>
  <si>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</si>
  <si>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</si>
  <si>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</si>
  <si>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</si>
  <si>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</si>
  <si>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</si>
  <si>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</si>
  <si>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</si>
  <si>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</si>
  <si>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</si>
  <si>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</si>
  <si>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</si>
  <si>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</si>
  <si>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</si>
  <si>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</si>
  <si>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</si>
  <si>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</si>
  <si>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</si>
  <si>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</si>
  <si>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</si>
  <si>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</si>
  <si>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</si>
  <si>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</si>
  <si>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</si>
  <si>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</si>
  <si>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</si>
  <si>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</si>
  <si>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</si>
  <si>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</si>
  <si>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</si>
  <si>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</si>
  <si>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</si>
  <si>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</si>
  <si>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</si>
  <si>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</si>
  <si>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</si>
  <si>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</si>
  <si>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</si>
  <si>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</si>
  <si>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</si>
  <si>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</si>
  <si>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</si>
  <si>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</si>
  <si>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</si>
  <si>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</si>
  <si>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</si>
  <si>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</si>
  <si>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</si>
  <si>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</si>
  <si>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</si>
  <si>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</si>
  <si>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</si>
  <si>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</si>
  <si>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</si>
  <si>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</si>
  <si>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</si>
  <si>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</si>
  <si>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</si>
  <si>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</si>
  <si>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</si>
  <si>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</si>
  <si>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</si>
  <si>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</si>
  <si>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</si>
  <si>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</si>
  <si>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</si>
  <si>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</si>
  <si>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</si>
  <si>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</si>
  <si>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</si>
  <si>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</si>
  <si>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</si>
  <si>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</si>
  <si>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</si>
  <si>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</si>
  <si>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</si>
  <si>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</si>
  <si>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</si>
  <si>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</si>
  <si>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</si>
  <si>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</si>
  <si>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</si>
  <si>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</si>
  <si>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</si>
  <si>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</si>
  <si>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</si>
  <si>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</si>
  <si>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</si>
  <si>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</si>
  <si>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</si>
  <si>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</si>
  <si>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</si>
  <si>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</si>
  <si>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</si>
  <si>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</si>
  <si>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</si>
  <si>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</si>
  <si>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</si>
  <si>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</si>
  <si>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</si>
  <si>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</si>
  <si>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</si>
  <si>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</si>
  <si>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</si>
  <si>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</si>
  <si>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</si>
  <si>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</si>
  <si>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</si>
  <si>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</si>
  <si>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</si>
  <si>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</si>
  <si>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</si>
  <si>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</si>
  <si>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</si>
  <si>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</si>
  <si>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</si>
  <si>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</si>
  <si>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</si>
  <si>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</si>
  <si>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</si>
  <si>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</si>
  <si>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</si>
  <si>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</si>
  <si>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</si>
  <si>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</si>
  <si>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</si>
  <si>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</si>
  <si>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</si>
  <si>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</si>
  <si>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</si>
  <si>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</si>
  <si>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</si>
  <si>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</si>
  <si>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</si>
  <si>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</si>
  <si>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</si>
  <si>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</si>
  <si>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</si>
  <si>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</si>
  <si>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</si>
  <si>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</si>
  <si>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</si>
  <si>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</si>
  <si>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</si>
  <si>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</si>
  <si>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</si>
  <si>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</si>
  <si>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</si>
  <si>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</si>
  <si>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</si>
  <si>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</si>
  <si>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</si>
  <si>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</si>
  <si>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</si>
  <si>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</si>
  <si>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</si>
  <si>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</si>
  <si>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</si>
  <si>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</si>
  <si>
    <t>S_H2P</t>
  </si>
  <si>
    <t>S_H2P-All</t>
  </si>
  <si>
    <t>PRE</t>
  </si>
  <si>
    <t>S*H2*,ELCH2*</t>
  </si>
  <si>
    <t>H2 prod-all</t>
  </si>
  <si>
    <t xml:space="preserve">H2 prod </t>
  </si>
  <si>
    <t>H2 prod (CCS)</t>
  </si>
  <si>
    <t>H2 Prod Bio-all</t>
  </si>
  <si>
    <t>H2 Prod Biomass</t>
  </si>
  <si>
    <t>H2 Prod Biomass CCS</t>
  </si>
  <si>
    <t>H2 Prod Coa-all</t>
  </si>
  <si>
    <t>H2 Prod Coal</t>
  </si>
  <si>
    <t>H2 Prod Coal CCS</t>
  </si>
  <si>
    <t>H2 Prod Electricity</t>
  </si>
  <si>
    <t>H2 Prod Gas-all</t>
  </si>
  <si>
    <t>H2 Prod Gas</t>
  </si>
  <si>
    <t>H2 Prod Gas CCS</t>
  </si>
  <si>
    <t>H2 Prod Oil</t>
  </si>
  <si>
    <t>H2 Prod Nuclear</t>
  </si>
  <si>
    <t>S_H2P_BIO-All</t>
  </si>
  <si>
    <t>S_H2P_BIO</t>
  </si>
  <si>
    <t>S_H2P_BIO-CCS</t>
  </si>
  <si>
    <t>S_H2P_COA-All</t>
  </si>
  <si>
    <t>S_H2P_COA</t>
  </si>
  <si>
    <t>S_H2P_COA-CCS</t>
  </si>
  <si>
    <t>S_H2P_ELC</t>
  </si>
  <si>
    <t>S_H2P_GAS-All</t>
  </si>
  <si>
    <t>S_H2P_GAS</t>
  </si>
  <si>
    <t>S_H2P_GAS-CCS</t>
  </si>
  <si>
    <t>S_H2P_OIL</t>
  </si>
  <si>
    <t>S_H2P_NUC</t>
  </si>
  <si>
    <t>SHFO*H2*</t>
  </si>
  <si>
    <t>ENUCH2*</t>
  </si>
  <si>
    <t>ELC*,-BIO*,-COA*,-GAS*</t>
  </si>
  <si>
    <t>SGAS*H2*</t>
  </si>
  <si>
    <t>*ELCH2*</t>
  </si>
  <si>
    <t>SYNH2*</t>
  </si>
  <si>
    <t>TRNH2</t>
  </si>
  <si>
    <t>Hydrogen</t>
  </si>
  <si>
    <t>ELCCO2-Seq</t>
  </si>
  <si>
    <t>H2 Prod Gas retrofit</t>
  </si>
  <si>
    <t>*RETCCS</t>
  </si>
  <si>
    <t>EN[_]*,-EN_ZZ*</t>
  </si>
  <si>
    <t>²</t>
  </si>
  <si>
    <t>EN_ZZ*</t>
  </si>
  <si>
    <t>ELECOA-R</t>
  </si>
  <si>
    <t>ELEGAS-R</t>
  </si>
  <si>
    <t>S_H2P_GAS-RET</t>
  </si>
  <si>
    <t>S_H2P-CCS</t>
  </si>
  <si>
    <t>S*BIOH2*</t>
  </si>
  <si>
    <t>S*H2*</t>
  </si>
  <si>
    <t>S*CC*,-*RETCCS</t>
  </si>
  <si>
    <t>S*CC*</t>
  </si>
  <si>
    <t>-S*CC*</t>
  </si>
  <si>
    <t>S*H2*,-*CC*</t>
  </si>
  <si>
    <t>Or</t>
  </si>
  <si>
    <t>t_pos_andor_forsets</t>
  </si>
  <si>
    <t>t_pos_andor</t>
  </si>
  <si>
    <t>t_neg_andor_forsets</t>
  </si>
  <si>
    <t>t_neg_andor</t>
  </si>
  <si>
    <t>setname</t>
  </si>
  <si>
    <t>setdesc</t>
  </si>
  <si>
    <t>pset_set</t>
  </si>
  <si>
    <t>pset_pn</t>
  </si>
  <si>
    <t>pset_pd</t>
  </si>
  <si>
    <t>pset_co</t>
  </si>
  <si>
    <t>pset_ci</t>
  </si>
  <si>
    <t>And</t>
  </si>
  <si>
    <t>DAC</t>
  </si>
  <si>
    <t>Direct Air Capture</t>
  </si>
  <si>
    <t>SNK_DAC*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</si>
</sst>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  <xf numFmtId="0" fontId="0" fillId="4" borderId="0" xfId="0" applyFill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ED32-2DE5-4115-A4E9-926B8F20B6FA}">
  <dimension ref="A1:K3"/>
  <sheetViews>
    <sheetView tabSelected="1" workbookViewId="0"/>
  </sheetViews>
  <sheetFormatPr defaultRowHeight="14.5" x14ac:dyDescent="0.35"/>
  <sheetData>
    <row r="1" spans="1:11" x14ac:dyDescent="0.35">
      <c r="A1" t="s">
        <v>7</v>
      </c>
    </row>
    <row r="2" spans="1:11" x14ac:dyDescent="0.35">
      <c r="A2" t="s">
        <v>320</v>
      </c>
      <c r="B2" t="s">
        <v>321</v>
      </c>
      <c r="C2" t="s">
        <v>322</v>
      </c>
      <c r="D2" t="s">
        <v>323</v>
      </c>
      <c r="E2" t="s">
        <v>324</v>
      </c>
      <c r="F2" t="s">
        <v>325</v>
      </c>
      <c r="G2" t="s">
        <v>326</v>
      </c>
      <c r="H2" t="s">
        <v>327</v>
      </c>
      <c r="I2" t="s">
        <v>328</v>
      </c>
      <c r="J2" t="s">
        <v>329</v>
      </c>
      <c r="K2" t="s">
        <v>330</v>
      </c>
    </row>
    <row r="3" spans="1:11" x14ac:dyDescent="0.35">
      <c r="A3" t="s">
        <v>331</v>
      </c>
      <c r="B3" t="s">
        <v>331</v>
      </c>
      <c r="C3" t="s">
        <v>331</v>
      </c>
      <c r="D3" t="s">
        <v>331</v>
      </c>
      <c r="E3" t="s">
        <v>332</v>
      </c>
      <c r="F3" t="s">
        <v>333</v>
      </c>
      <c r="G3" t="s">
        <v>266</v>
      </c>
      <c r="H3" t="s">
        <v>334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86"/>
  <sheetViews>
    <sheetView zoomScaleNormal="100" workbookViewId="0">
      <pane ySplit="3" topLeftCell="A79" activePane="bottomLeft" state="frozen"/>
      <selection pane="bottomLeft" activeCell="D79" sqref="D79"/>
    </sheetView>
  </sheetViews>
  <sheetFormatPr defaultColWidth="9.1796875" defaultRowHeight="14.5" x14ac:dyDescent="0.35"/>
  <cols>
    <col min="1" max="1" width="9.1796875" style="8"/>
    <col min="2" max="2" width="21.81640625" style="8" bestFit="1" customWidth="1"/>
    <col min="3" max="3" width="13.1796875" style="8" bestFit="1" customWidth="1"/>
    <col min="4" max="4" width="9.81640625" style="8" bestFit="1" customWidth="1"/>
    <col min="5" max="5" width="24.81640625" style="8" bestFit="1" customWidth="1"/>
    <col min="6" max="6" width="13.54296875" style="8" bestFit="1" customWidth="1"/>
    <col min="7" max="7" width="17.1796875" style="8" bestFit="1" customWidth="1"/>
    <col min="8" max="8" width="16" style="8" bestFit="1" customWidth="1"/>
    <col min="9" max="9" width="12.54296875" style="8" bestFit="1" customWidth="1"/>
    <col min="10" max="10" width="77.81640625" style="8" bestFit="1" customWidth="1"/>
    <col min="11" max="16384" width="9.1796875" style="8"/>
  </cols>
  <sheetData>
    <row r="2" spans="2:10" x14ac:dyDescent="0.35">
      <c r="B2" s="7" t="s">
        <v>7</v>
      </c>
    </row>
    <row r="3" spans="2:10" ht="15" thickBot="1" x14ac:dyDescent="0.4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35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35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35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35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35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35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35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35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35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35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35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35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35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35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35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35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35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35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35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35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35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35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35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35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35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35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51" si="0">G29</f>
        <v>ELECOA-O</v>
      </c>
    </row>
    <row r="30" spans="2:8" x14ac:dyDescent="0.35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35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35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35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35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35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35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35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35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35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35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35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35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35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35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35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35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35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35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35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35">
      <c r="B50" s="12" t="s">
        <v>126</v>
      </c>
      <c r="C50" s="8" t="s">
        <v>306</v>
      </c>
      <c r="E50" s="8" t="s">
        <v>249</v>
      </c>
      <c r="F50" s="8" t="s">
        <v>303</v>
      </c>
      <c r="G50" s="8" t="s">
        <v>62</v>
      </c>
      <c r="H50" s="8" t="str">
        <f t="shared" si="0"/>
        <v>ELECOA-S</v>
      </c>
    </row>
    <row r="51" spans="2:9" x14ac:dyDescent="0.35">
      <c r="B51" s="12" t="s">
        <v>126</v>
      </c>
      <c r="C51" s="8" t="s">
        <v>306</v>
      </c>
      <c r="E51" s="8" t="str">
        <f>E10</f>
        <v>ELCWHT,-ELCCOA*,ELCGAS</v>
      </c>
      <c r="F51" s="8" t="str">
        <f>F50</f>
        <v>ELCCO2-Seq</v>
      </c>
      <c r="G51" s="8" t="s">
        <v>134</v>
      </c>
      <c r="H51" s="8" t="str">
        <f t="shared" si="0"/>
        <v>ELEGAS-S</v>
      </c>
    </row>
    <row r="52" spans="2:9" x14ac:dyDescent="0.35">
      <c r="B52" s="12" t="s">
        <v>126</v>
      </c>
      <c r="C52" s="8" t="s">
        <v>58</v>
      </c>
      <c r="E52" s="8" t="str">
        <f>E28</f>
        <v>ELCCRP,ELCBIO</v>
      </c>
      <c r="F52" s="8" t="str">
        <f>F51</f>
        <v>ELCCO2-Seq</v>
      </c>
      <c r="G52" s="8" t="s">
        <v>63</v>
      </c>
      <c r="H52" s="8" t="str">
        <f t="shared" ref="H52:H62" si="2">G52</f>
        <v>ELEBIO-S</v>
      </c>
    </row>
    <row r="53" spans="2:9" x14ac:dyDescent="0.35">
      <c r="B53" s="12" t="s">
        <v>126</v>
      </c>
      <c r="E53" s="8" t="str">
        <f>E50</f>
        <v>ELCCOA*</v>
      </c>
      <c r="F53" s="8" t="str">
        <f>"-"&amp;$F$50</f>
        <v>-ELCCO2-Seq</v>
      </c>
      <c r="G53" s="8" t="s">
        <v>64</v>
      </c>
      <c r="H53" s="8" t="str">
        <f t="shared" si="2"/>
        <v>ELECOA-NS</v>
      </c>
    </row>
    <row r="54" spans="2:9" x14ac:dyDescent="0.35">
      <c r="B54" s="12" t="s">
        <v>126</v>
      </c>
      <c r="E54" s="8" t="str">
        <f>E51</f>
        <v>ELCWHT,-ELCCOA*,ELCGAS</v>
      </c>
      <c r="F54" s="8" t="str">
        <f>"-"&amp;$F$50</f>
        <v>-ELCCO2-Seq</v>
      </c>
      <c r="G54" s="8" t="s">
        <v>135</v>
      </c>
      <c r="H54" s="8" t="str">
        <f t="shared" si="2"/>
        <v>ELEGAS-NS</v>
      </c>
      <c r="I54" s="8" t="s">
        <v>133</v>
      </c>
    </row>
    <row r="55" spans="2:9" x14ac:dyDescent="0.35">
      <c r="B55" s="12" t="s">
        <v>126</v>
      </c>
      <c r="E55" s="8" t="str">
        <f>E52</f>
        <v>ELCCRP,ELCBIO</v>
      </c>
      <c r="F55" s="8" t="str">
        <f>"-"&amp;$F$50</f>
        <v>-ELCCO2-Seq</v>
      </c>
      <c r="G55" s="8" t="s">
        <v>65</v>
      </c>
      <c r="H55" s="8" t="str">
        <f t="shared" si="2"/>
        <v>ELEBIO-NS</v>
      </c>
    </row>
    <row r="56" spans="2:9" x14ac:dyDescent="0.35">
      <c r="B56" s="8" t="s">
        <v>307</v>
      </c>
      <c r="C56" s="8" t="s">
        <v>255</v>
      </c>
      <c r="E56" s="8" t="s">
        <v>243</v>
      </c>
      <c r="G56" s="8" t="s">
        <v>237</v>
      </c>
      <c r="H56" s="8" t="str">
        <f t="shared" si="2"/>
        <v>EGasOil_N-CT</v>
      </c>
    </row>
    <row r="57" spans="2:9" x14ac:dyDescent="0.35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2"/>
        <v>EGasOil_N-CC</v>
      </c>
    </row>
    <row r="58" spans="2:9" x14ac:dyDescent="0.35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2"/>
        <v>EGasOil_N-ST</v>
      </c>
    </row>
    <row r="59" spans="2:9" x14ac:dyDescent="0.35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2"/>
        <v>EGasOil_E-CT</v>
      </c>
    </row>
    <row r="60" spans="2:9" x14ac:dyDescent="0.35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2"/>
        <v>EGasOil_E-CC</v>
      </c>
    </row>
    <row r="61" spans="2:9" x14ac:dyDescent="0.35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2"/>
        <v>EGasOil_E-ST</v>
      </c>
    </row>
    <row r="62" spans="2:9" x14ac:dyDescent="0.35">
      <c r="C62" s="8" t="s">
        <v>244</v>
      </c>
      <c r="G62" s="8" t="s">
        <v>245</v>
      </c>
      <c r="H62" s="8" t="str">
        <f t="shared" si="2"/>
        <v>ERETargDum</v>
      </c>
    </row>
    <row r="63" spans="2:9" x14ac:dyDescent="0.35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35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>G64</f>
        <v>ECoal_E-CC</v>
      </c>
    </row>
    <row r="65" spans="2:9" x14ac:dyDescent="0.35">
      <c r="B65" s="8" t="s">
        <v>126</v>
      </c>
      <c r="C65" s="8" t="s">
        <v>232</v>
      </c>
      <c r="E65" s="8" t="s">
        <v>249</v>
      </c>
      <c r="F65" s="8" t="str">
        <f>F55</f>
        <v>-ELCCO2-Seq</v>
      </c>
      <c r="G65" s="8" t="s">
        <v>257</v>
      </c>
      <c r="H65" s="8" t="str">
        <f>G65</f>
        <v>ECoal_N-CC</v>
      </c>
    </row>
    <row r="66" spans="2:9" x14ac:dyDescent="0.35">
      <c r="B66" s="8" t="s">
        <v>126</v>
      </c>
      <c r="C66" s="8" t="s">
        <v>232</v>
      </c>
      <c r="E66" s="8" t="s">
        <v>249</v>
      </c>
      <c r="F66" s="8" t="str">
        <f>F52</f>
        <v>ELCCO2-Seq</v>
      </c>
      <c r="G66" s="8" t="s">
        <v>262</v>
      </c>
      <c r="H66" s="8" t="str">
        <f>G66</f>
        <v>ECoal_N-CS</v>
      </c>
    </row>
    <row r="67" spans="2:9" x14ac:dyDescent="0.35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>G67</f>
        <v>ECoal_N-ST</v>
      </c>
    </row>
    <row r="68" spans="2:9" x14ac:dyDescent="0.35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>G68</f>
        <v>ECoal_E-ST</v>
      </c>
    </row>
    <row r="69" spans="2:9" x14ac:dyDescent="0.35">
      <c r="B69" s="8" t="s">
        <v>266</v>
      </c>
      <c r="C69" s="8" t="s">
        <v>267</v>
      </c>
      <c r="G69" s="8" t="s">
        <v>265</v>
      </c>
      <c r="H69" s="8" t="s">
        <v>268</v>
      </c>
    </row>
    <row r="70" spans="2:9" x14ac:dyDescent="0.35">
      <c r="B70" s="8" t="s">
        <v>265</v>
      </c>
      <c r="C70" s="14" t="s">
        <v>317</v>
      </c>
      <c r="F70" s="14"/>
      <c r="G70" s="8" t="s">
        <v>264</v>
      </c>
      <c r="H70" s="8" t="s">
        <v>269</v>
      </c>
    </row>
    <row r="71" spans="2:9" x14ac:dyDescent="0.35">
      <c r="B71" s="8" t="s">
        <v>265</v>
      </c>
      <c r="C71" s="8" t="s">
        <v>316</v>
      </c>
      <c r="G71" s="8" t="s">
        <v>312</v>
      </c>
      <c r="H71" s="8" t="s">
        <v>270</v>
      </c>
    </row>
    <row r="72" spans="2:9" x14ac:dyDescent="0.35">
      <c r="B72" s="8" t="s">
        <v>266</v>
      </c>
      <c r="C72" s="8" t="s">
        <v>313</v>
      </c>
      <c r="E72" s="8" t="s">
        <v>14</v>
      </c>
      <c r="G72" s="8" t="s">
        <v>283</v>
      </c>
      <c r="H72" s="8" t="s">
        <v>271</v>
      </c>
    </row>
    <row r="73" spans="2:9" x14ac:dyDescent="0.35">
      <c r="B73" s="8" t="s">
        <v>283</v>
      </c>
      <c r="C73" s="14" t="s">
        <v>317</v>
      </c>
      <c r="E73" s="8" t="s">
        <v>14</v>
      </c>
      <c r="G73" s="8" t="s">
        <v>284</v>
      </c>
      <c r="H73" s="8" t="s">
        <v>272</v>
      </c>
    </row>
    <row r="74" spans="2:9" x14ac:dyDescent="0.35">
      <c r="B74" s="8" t="s">
        <v>283</v>
      </c>
      <c r="C74" s="8" t="s">
        <v>316</v>
      </c>
      <c r="E74" s="8" t="s">
        <v>14</v>
      </c>
      <c r="G74" s="8" t="s">
        <v>285</v>
      </c>
      <c r="H74" s="8" t="s">
        <v>273</v>
      </c>
    </row>
    <row r="75" spans="2:9" x14ac:dyDescent="0.35">
      <c r="B75" s="8" t="s">
        <v>266</v>
      </c>
      <c r="C75" s="8" t="s">
        <v>314</v>
      </c>
      <c r="E75" s="8" t="s">
        <v>42</v>
      </c>
      <c r="G75" s="8" t="s">
        <v>286</v>
      </c>
      <c r="H75" s="8" t="s">
        <v>274</v>
      </c>
    </row>
    <row r="76" spans="2:9" x14ac:dyDescent="0.35">
      <c r="B76" s="8" t="s">
        <v>286</v>
      </c>
      <c r="C76" s="14" t="s">
        <v>317</v>
      </c>
      <c r="E76" s="8" t="s">
        <v>42</v>
      </c>
      <c r="G76" s="8" t="s">
        <v>287</v>
      </c>
      <c r="H76" s="8" t="s">
        <v>275</v>
      </c>
    </row>
    <row r="77" spans="2:9" x14ac:dyDescent="0.35">
      <c r="B77" s="8" t="s">
        <v>286</v>
      </c>
      <c r="C77" s="8" t="s">
        <v>316</v>
      </c>
      <c r="E77" s="8" t="s">
        <v>42</v>
      </c>
      <c r="G77" s="8" t="s">
        <v>288</v>
      </c>
      <c r="H77" s="8" t="s">
        <v>276</v>
      </c>
    </row>
    <row r="78" spans="2:9" x14ac:dyDescent="0.35">
      <c r="B78" s="8" t="s">
        <v>266</v>
      </c>
      <c r="C78" s="8" t="s">
        <v>299</v>
      </c>
      <c r="E78" s="8" t="s">
        <v>297</v>
      </c>
      <c r="G78" s="8" t="s">
        <v>289</v>
      </c>
      <c r="H78" s="8" t="s">
        <v>277</v>
      </c>
    </row>
    <row r="79" spans="2:9" x14ac:dyDescent="0.35">
      <c r="B79" s="8" t="s">
        <v>266</v>
      </c>
      <c r="C79" s="8" t="s">
        <v>298</v>
      </c>
      <c r="E79" s="8" t="s">
        <v>43</v>
      </c>
      <c r="G79" s="8" t="s">
        <v>290</v>
      </c>
      <c r="H79" s="8" t="s">
        <v>278</v>
      </c>
    </row>
    <row r="80" spans="2:9" x14ac:dyDescent="0.35">
      <c r="B80" s="8" t="s">
        <v>290</v>
      </c>
      <c r="C80" s="8" t="s">
        <v>318</v>
      </c>
      <c r="E80" s="8" t="s">
        <v>43</v>
      </c>
      <c r="G80" s="8" t="s">
        <v>291</v>
      </c>
      <c r="H80" s="8" t="s">
        <v>279</v>
      </c>
      <c r="I80" s="8" t="s">
        <v>319</v>
      </c>
    </row>
    <row r="81" spans="2:8" x14ac:dyDescent="0.35">
      <c r="B81" s="8" t="str">
        <f>B82</f>
        <v>S_H2P_GAS-All</v>
      </c>
      <c r="C81" s="8" t="s">
        <v>305</v>
      </c>
      <c r="E81" s="8" t="s">
        <v>43</v>
      </c>
      <c r="G81" s="15" t="s">
        <v>311</v>
      </c>
      <c r="H81" s="8" t="s">
        <v>304</v>
      </c>
    </row>
    <row r="82" spans="2:8" x14ac:dyDescent="0.35">
      <c r="B82" s="8" t="s">
        <v>290</v>
      </c>
      <c r="C82" s="14" t="s">
        <v>315</v>
      </c>
      <c r="E82" s="8" t="s">
        <v>43</v>
      </c>
      <c r="G82" s="8" t="s">
        <v>292</v>
      </c>
      <c r="H82" s="8" t="s">
        <v>280</v>
      </c>
    </row>
    <row r="83" spans="2:8" x14ac:dyDescent="0.35">
      <c r="B83" s="8" t="s">
        <v>266</v>
      </c>
      <c r="C83" s="8" t="s">
        <v>295</v>
      </c>
      <c r="G83" s="8" t="s">
        <v>293</v>
      </c>
      <c r="H83" s="8" t="s">
        <v>281</v>
      </c>
    </row>
    <row r="84" spans="2:8" x14ac:dyDescent="0.35">
      <c r="C84" s="8" t="s">
        <v>296</v>
      </c>
      <c r="G84" s="8" t="s">
        <v>294</v>
      </c>
      <c r="H84" s="8" t="s">
        <v>282</v>
      </c>
    </row>
    <row r="85" spans="2:8" x14ac:dyDescent="0.35">
      <c r="B85" s="12" t="s">
        <v>126</v>
      </c>
      <c r="C85" s="8" t="s">
        <v>308</v>
      </c>
      <c r="E85" s="8" t="s">
        <v>249</v>
      </c>
      <c r="F85" s="8" t="s">
        <v>303</v>
      </c>
      <c r="G85" s="8" t="s">
        <v>309</v>
      </c>
      <c r="H85" s="8" t="str">
        <f t="shared" ref="H85:H86" si="3">G85</f>
        <v>ELECOA-R</v>
      </c>
    </row>
    <row r="86" spans="2:8" x14ac:dyDescent="0.35">
      <c r="B86" s="12" t="s">
        <v>126</v>
      </c>
      <c r="C86" s="8" t="s">
        <v>308</v>
      </c>
      <c r="E86" s="8" t="str">
        <f>E45</f>
        <v>ELCOIL,-ELCGAS,-ELCCOA*</v>
      </c>
      <c r="F86" s="8" t="str">
        <f>F85</f>
        <v>ELCCO2-Seq</v>
      </c>
      <c r="G86" s="8" t="s">
        <v>310</v>
      </c>
      <c r="H86" s="8" t="str">
        <f t="shared" si="3"/>
        <v>ELEGAS-R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1"/>
  <sheetViews>
    <sheetView zoomScaleNormal="100" workbookViewId="0">
      <selection activeCell="C28" sqref="C28"/>
    </sheetView>
  </sheetViews>
  <sheetFormatPr defaultRowHeight="14.5" x14ac:dyDescent="0.35"/>
  <cols>
    <col min="2" max="2" width="12.1796875" bestFit="1" customWidth="1"/>
    <col min="3" max="3" width="54.81640625" bestFit="1" customWidth="1"/>
    <col min="4" max="4" width="8.81640625" bestFit="1" customWidth="1"/>
    <col min="5" max="5" width="9.81640625" bestFit="1" customWidth="1"/>
    <col min="6" max="6" width="13.1796875" bestFit="1" customWidth="1"/>
  </cols>
  <sheetData>
    <row r="2" spans="2:7" x14ac:dyDescent="0.35">
      <c r="B2" s="1" t="s">
        <v>9</v>
      </c>
    </row>
    <row r="3" spans="2:7" ht="15" thickBot="1" x14ac:dyDescent="0.4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35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35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35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35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35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35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35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  <row r="11" spans="2:7" x14ac:dyDescent="0.35">
      <c r="B11" t="s">
        <v>11</v>
      </c>
      <c r="C11" t="s">
        <v>300</v>
      </c>
      <c r="E11" t="s">
        <v>301</v>
      </c>
      <c r="F11" t="s">
        <v>302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topLeftCell="A7" zoomScaleNormal="100" workbookViewId="0"/>
  </sheetViews>
  <sheetFormatPr defaultRowHeight="14.5" x14ac:dyDescent="0.35"/>
  <cols>
    <col min="2" max="2" width="12.1796875" bestFit="1" customWidth="1"/>
    <col min="3" max="3" width="8.453125" bestFit="1" customWidth="1"/>
    <col min="4" max="4" width="8.81640625" bestFit="1" customWidth="1"/>
    <col min="5" max="5" width="7.54296875" bestFit="1" customWidth="1"/>
    <col min="6" max="6" width="8.54296875" bestFit="1" customWidth="1"/>
    <col min="7" max="7" width="9.81640625" bestFit="1" customWidth="1"/>
    <col min="8" max="8" width="27" bestFit="1" customWidth="1"/>
    <col min="9" max="9" width="9" bestFit="1" customWidth="1"/>
    <col min="13" max="13" width="9.1796875" bestFit="1" customWidth="1"/>
    <col min="14" max="14" width="34.1796875" bestFit="1" customWidth="1"/>
  </cols>
  <sheetData>
    <row r="2" spans="2:15" x14ac:dyDescent="0.35">
      <c r="B2" s="1"/>
    </row>
    <row r="3" spans="2:15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35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35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35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35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35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35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35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35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35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35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35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35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35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35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35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35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35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35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35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35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35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35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35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35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35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35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35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35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35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35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35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35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35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35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35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35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35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4.5" x14ac:dyDescent="0.35"/>
  <sheetData>
    <row r="2" spans="2:10" x14ac:dyDescent="0.35">
      <c r="B2" s="1" t="s">
        <v>7</v>
      </c>
    </row>
    <row r="3" spans="2:10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ColWidth="9.1796875" defaultRowHeight="14.5" x14ac:dyDescent="0.35"/>
  <cols>
    <col min="1" max="2" width="9.1796875" style="6"/>
    <col min="3" max="3" width="12" style="6" bestFit="1" customWidth="1"/>
    <col min="4" max="4" width="8.1796875" style="6" bestFit="1" customWidth="1"/>
    <col min="5" max="5" width="7.54296875" style="6" bestFit="1" customWidth="1"/>
    <col min="6" max="6" width="8.453125" style="6" bestFit="1" customWidth="1"/>
    <col min="7" max="7" width="9.1796875" style="6"/>
    <col min="8" max="8" width="8.81640625" style="6" bestFit="1" customWidth="1"/>
    <col min="9" max="9" width="13.453125" style="6" bestFit="1" customWidth="1"/>
    <col min="10" max="10" width="9.81640625" style="6" bestFit="1" customWidth="1"/>
    <col min="11" max="16384" width="9.1796875" style="6"/>
  </cols>
  <sheetData>
    <row r="2" spans="2:10" x14ac:dyDescent="0.35">
      <c r="B2" s="6" t="s">
        <v>7</v>
      </c>
    </row>
    <row r="3" spans="2:10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35">
      <c r="C4" s="6" t="s">
        <v>151</v>
      </c>
      <c r="G4" s="6" t="s">
        <v>148</v>
      </c>
      <c r="H4" s="6" t="str">
        <f>G4</f>
        <v>GridLev1</v>
      </c>
    </row>
    <row r="5" spans="2:10" x14ac:dyDescent="0.35">
      <c r="C5" s="6" t="s">
        <v>152</v>
      </c>
      <c r="G5" s="6" t="s">
        <v>149</v>
      </c>
      <c r="H5" s="6" t="str">
        <f>G5</f>
        <v>GridLev2</v>
      </c>
    </row>
    <row r="6" spans="2:10" x14ac:dyDescent="0.35">
      <c r="C6" s="6" t="s">
        <v>153</v>
      </c>
      <c r="G6" s="6" t="s">
        <v>150</v>
      </c>
      <c r="H6" s="6" t="str">
        <f>G6</f>
        <v>GridLev3</v>
      </c>
    </row>
    <row r="7" spans="2:10" x14ac:dyDescent="0.35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35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workbookViewId="0">
      <selection activeCell="I13" sqref="I13"/>
    </sheetView>
  </sheetViews>
  <sheetFormatPr defaultColWidth="9.1796875" defaultRowHeight="14.5" x14ac:dyDescent="0.35"/>
  <cols>
    <col min="1" max="2" width="9.1796875" style="6"/>
    <col min="3" max="3" width="15.81640625" style="6" bestFit="1" customWidth="1"/>
    <col min="4" max="4" width="8.1796875" style="6" bestFit="1" customWidth="1"/>
    <col min="5" max="5" width="7.81640625" style="6" bestFit="1" customWidth="1"/>
    <col min="6" max="6" width="8.453125" style="6" bestFit="1" customWidth="1"/>
    <col min="7" max="7" width="9.54296875" style="6" bestFit="1" customWidth="1"/>
    <col min="8" max="8" width="9.81640625" style="6" bestFit="1" customWidth="1"/>
    <col min="9" max="9" width="13.453125" style="6" bestFit="1" customWidth="1"/>
    <col min="10" max="10" width="9.81640625" style="6" bestFit="1" customWidth="1"/>
    <col min="11" max="12" width="9.1796875" style="6"/>
    <col min="13" max="13" width="4.1796875" style="6" bestFit="1" customWidth="1"/>
    <col min="14" max="16384" width="9.1796875" style="6"/>
  </cols>
  <sheetData>
    <row r="2" spans="2:13" x14ac:dyDescent="0.35">
      <c r="B2" s="6" t="s">
        <v>7</v>
      </c>
    </row>
    <row r="3" spans="2:13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35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35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35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35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35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35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35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35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35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35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35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35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35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35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35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35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35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35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35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35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35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35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35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35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35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35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35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35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35">
      <c r="C34" s="8"/>
    </row>
    <row r="35" spans="3:3" x14ac:dyDescent="0.35">
      <c r="C35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4.5" x14ac:dyDescent="0.35"/>
  <cols>
    <col min="2" max="2" width="11.54296875" bestFit="1" customWidth="1"/>
    <col min="3" max="3" width="32.1796875" bestFit="1" customWidth="1"/>
    <col min="4" max="4" width="8.1796875" bestFit="1" customWidth="1"/>
    <col min="5" max="5" width="14.1796875" bestFit="1" customWidth="1"/>
    <col min="6" max="6" width="13.54296875" bestFit="1" customWidth="1"/>
    <col min="8" max="8" width="10.81640625" bestFit="1" customWidth="1"/>
    <col min="9" max="9" width="13.453125" bestFit="1" customWidth="1"/>
    <col min="10" max="10" width="9.81640625" bestFit="1" customWidth="1"/>
  </cols>
  <sheetData>
    <row r="2" spans="2:10" x14ac:dyDescent="0.35">
      <c r="B2" t="s">
        <v>7</v>
      </c>
    </row>
    <row r="3" spans="2:10" x14ac:dyDescent="0.35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35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35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35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35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35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35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35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35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35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35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35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35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SetsEditor- Proc</vt:lpstr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2022-01-10T14:43:37Z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