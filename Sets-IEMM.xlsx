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_models\IEMM_v60_10-1\"/>
    </mc:Choice>
  </mc:AlternateContent>
  <xr:revisionPtr revIDLastSave="0" documentId="13_ncr:1_{2C55ADBE-C3B8-44DC-AB0F-468B4E6A410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TechSup" sheetId="4" r:id="rId1"/>
    <sheet name="Comm" sheetId="5" r:id="rId2"/>
    <sheet name="EFD classification" sheetId="3" r:id="rId3"/>
    <sheet name="TechTrade" sheetId="6" r:id="rId4"/>
    <sheet name="Grids" sheetId="7" r:id="rId5"/>
    <sheet name="SolWin" sheetId="8" r:id="rId6"/>
    <sheet name="ETL" sheetId="9" r:id="rId7"/>
  </sheets>
  <definedNames>
    <definedName name="_xlnm._FilterDatabase" localSheetId="2" hidden="1">'EFD classification'!$H$3:$J$78</definedName>
    <definedName name="_xlnm._FilterDatabase" localSheetId="0" hidden="1">TechSup!$F$3:$G$61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6" i="4" l="1"/>
  <c r="F86" i="4"/>
  <c r="E86" i="4"/>
  <c r="H85" i="4"/>
  <c r="B81" i="4"/>
  <c r="F76" i="4"/>
  <c r="F80" i="4" s="1"/>
  <c r="F74" i="4"/>
  <c r="F77" i="4" s="1"/>
  <c r="F82" i="4" s="1"/>
  <c r="F81" i="4" s="1"/>
  <c r="F73" i="4"/>
  <c r="F51" i="4"/>
  <c r="F52" i="4" s="1"/>
  <c r="F66" i="4" s="1"/>
  <c r="H68" i="4"/>
  <c r="H67" i="4"/>
  <c r="H66" i="4"/>
  <c r="H65" i="4"/>
  <c r="H64" i="4"/>
  <c r="H35" i="4"/>
  <c r="H46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G25" i="4" l="1"/>
  <c r="G7" i="4"/>
  <c r="G13" i="4"/>
  <c r="E20" i="4"/>
  <c r="E19" i="4"/>
  <c r="E16" i="4"/>
  <c r="H11" i="4"/>
  <c r="E11" i="4"/>
  <c r="E9" i="4"/>
  <c r="G31" i="8"/>
  <c r="H31" i="8" s="1"/>
  <c r="C31" i="8"/>
  <c r="G30" i="8"/>
  <c r="H30" i="8" s="1"/>
  <c r="C30" i="8"/>
  <c r="G29" i="8"/>
  <c r="H29" i="8" s="1"/>
  <c r="C29" i="8"/>
  <c r="G28" i="8"/>
  <c r="H28" i="8" s="1"/>
  <c r="C28" i="8"/>
  <c r="G27" i="8"/>
  <c r="H27" i="8" s="1"/>
  <c r="C27" i="8"/>
  <c r="G26" i="8"/>
  <c r="H26" i="8" s="1"/>
  <c r="C26" i="8"/>
  <c r="G25" i="8"/>
  <c r="H25" i="8" s="1"/>
  <c r="C25" i="8"/>
  <c r="G24" i="8"/>
  <c r="H24" i="8" s="1"/>
  <c r="C24" i="8"/>
  <c r="G23" i="8"/>
  <c r="H23" i="8" s="1"/>
  <c r="C23" i="8"/>
  <c r="G15" i="8"/>
  <c r="H15" i="8" s="1"/>
  <c r="G16" i="8"/>
  <c r="H16" i="8" s="1"/>
  <c r="G17" i="8"/>
  <c r="H17" i="8" s="1"/>
  <c r="G18" i="8"/>
  <c r="H18" i="8" s="1"/>
  <c r="G19" i="8"/>
  <c r="H19" i="8" s="1"/>
  <c r="G20" i="8"/>
  <c r="H20" i="8" s="1"/>
  <c r="G21" i="8"/>
  <c r="H21" i="8" s="1"/>
  <c r="G22" i="8"/>
  <c r="H22" i="8" s="1"/>
  <c r="G14" i="8"/>
  <c r="H14" i="8" s="1"/>
  <c r="C15" i="8"/>
  <c r="C16" i="8"/>
  <c r="C17" i="8"/>
  <c r="C18" i="8"/>
  <c r="C19" i="8"/>
  <c r="C20" i="8"/>
  <c r="C21" i="8"/>
  <c r="C22" i="8"/>
  <c r="C14" i="8"/>
  <c r="G5" i="8"/>
  <c r="H5" i="8" s="1"/>
  <c r="G6" i="8"/>
  <c r="H6" i="8" s="1"/>
  <c r="G7" i="8"/>
  <c r="H7" i="8" s="1"/>
  <c r="G8" i="8"/>
  <c r="H8" i="8" s="1"/>
  <c r="G9" i="8"/>
  <c r="H9" i="8" s="1"/>
  <c r="G10" i="8"/>
  <c r="H10" i="8" s="1"/>
  <c r="G11" i="8"/>
  <c r="H11" i="8" s="1"/>
  <c r="G12" i="8"/>
  <c r="H12" i="8" s="1"/>
  <c r="G13" i="8"/>
  <c r="H13" i="8" s="1"/>
  <c r="G4" i="8"/>
  <c r="H4" i="8" s="1"/>
  <c r="C5" i="8"/>
  <c r="C6" i="8"/>
  <c r="C7" i="8"/>
  <c r="C8" i="8"/>
  <c r="C9" i="8"/>
  <c r="C10" i="8"/>
  <c r="C11" i="8"/>
  <c r="C12" i="8"/>
  <c r="C13" i="8"/>
  <c r="C4" i="8"/>
  <c r="H5" i="7"/>
  <c r="H6" i="7"/>
  <c r="H4" i="7"/>
  <c r="E35" i="4"/>
  <c r="E46" i="4"/>
  <c r="E51" i="4"/>
  <c r="E54" i="4" s="1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4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G8" i="4"/>
  <c r="G40" i="4" s="1"/>
  <c r="H40" i="4" s="1"/>
  <c r="G17" i="4"/>
  <c r="G34" i="4" s="1"/>
  <c r="H34" i="4" s="1"/>
  <c r="E53" i="4"/>
  <c r="F55" i="4"/>
  <c r="F65" i="4" s="1"/>
  <c r="F54" i="4"/>
  <c r="F53" i="4"/>
  <c r="E38" i="4"/>
  <c r="E49" i="4" s="1"/>
  <c r="E37" i="4"/>
  <c r="E48" i="4" s="1"/>
  <c r="E36" i="4"/>
  <c r="E47" i="4" s="1"/>
  <c r="E34" i="4"/>
  <c r="E45" i="4" s="1"/>
  <c r="E33" i="4"/>
  <c r="E44" i="4" s="1"/>
  <c r="E32" i="4"/>
  <c r="E43" i="4" s="1"/>
  <c r="E31" i="4"/>
  <c r="E42" i="4" s="1"/>
  <c r="E30" i="4"/>
  <c r="E41" i="4"/>
  <c r="E29" i="4"/>
  <c r="E40" i="4" s="1"/>
  <c r="E28" i="4"/>
  <c r="E52" i="4" s="1"/>
  <c r="E55" i="4" s="1"/>
  <c r="G10" i="4"/>
  <c r="G41" i="4" s="1"/>
  <c r="H41" i="4" s="1"/>
  <c r="G12" i="4"/>
  <c r="G31" i="4" s="1"/>
  <c r="H31" i="4" s="1"/>
  <c r="G14" i="4"/>
  <c r="G32" i="4" s="1"/>
  <c r="H32" i="4" s="1"/>
  <c r="G15" i="4"/>
  <c r="G44" i="4" s="1"/>
  <c r="H44" i="4" s="1"/>
  <c r="G23" i="4"/>
  <c r="G47" i="4" s="1"/>
  <c r="H47" i="4" s="1"/>
  <c r="G24" i="4"/>
  <c r="G48" i="4" s="1"/>
  <c r="H48" i="4" s="1"/>
  <c r="G26" i="4"/>
  <c r="G49" i="4" s="1"/>
  <c r="H49" i="4" s="1"/>
  <c r="G6" i="4"/>
  <c r="G28" i="4" s="1"/>
  <c r="H28" i="4" s="1"/>
  <c r="G33" i="4"/>
  <c r="H33" i="4" s="1"/>
  <c r="G39" i="4" l="1"/>
  <c r="H39" i="4" s="1"/>
  <c r="G43" i="4"/>
  <c r="H43" i="4" s="1"/>
  <c r="G38" i="4"/>
  <c r="H38" i="4" s="1"/>
  <c r="G30" i="4"/>
  <c r="H30" i="4" s="1"/>
  <c r="G36" i="4"/>
  <c r="H36" i="4" s="1"/>
  <c r="G45" i="4"/>
  <c r="H45" i="4" s="1"/>
  <c r="G29" i="4"/>
  <c r="H29" i="4" s="1"/>
  <c r="G42" i="4"/>
  <c r="H42" i="4" s="1"/>
  <c r="E39" i="4"/>
  <c r="G37" i="4"/>
  <c r="H37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Mahmoud Mobir</author>
  </authors>
  <commentList>
    <comment ref="B69" authorId="0" shapeId="0" xr:uid="{E699EE90-56D9-4886-9B92-A6BC016AB6E6}">
      <text>
        <r>
          <rPr>
            <b/>
            <sz val="9"/>
            <color indexed="81"/>
            <rFont val="Tahoma"/>
            <charset val="1"/>
          </rPr>
          <t>Mahmoud Mobir:</t>
        </r>
        <r>
          <rPr>
            <sz val="9"/>
            <color indexed="81"/>
            <rFont val="Tahoma"/>
            <charset val="1"/>
          </rPr>
          <t xml:space="preserve">
12-6-2021
added to track hydrogen production
</t>
        </r>
      </text>
    </comment>
  </commentList>
</comments>
</file>

<file path=xl/sharedStrings.xml><?xml version="1.0" encoding="utf-8"?>
<sst xmlns="http://schemas.openxmlformats.org/spreadsheetml/2006/main" count="601" uniqueCount="315">
  <si>
    <t>Pset_CI</t>
  </si>
  <si>
    <t>Pset_PN</t>
  </si>
  <si>
    <t>Pset_Set</t>
  </si>
  <si>
    <t>Pset_CO</t>
  </si>
  <si>
    <t>Pset_PD</t>
  </si>
  <si>
    <t>SetName</t>
  </si>
  <si>
    <t>SetDesc</t>
  </si>
  <si>
    <t>~TFM_PSets</t>
  </si>
  <si>
    <t>Comment</t>
  </si>
  <si>
    <t>~TFM_CSets</t>
  </si>
  <si>
    <t>CSet_Set</t>
  </si>
  <si>
    <t>NRG</t>
  </si>
  <si>
    <t>CSet_CN</t>
  </si>
  <si>
    <t>CSet_CD</t>
  </si>
  <si>
    <t>BIO*</t>
  </si>
  <si>
    <t>PRIBIO</t>
  </si>
  <si>
    <t>Biomass</t>
  </si>
  <si>
    <t>Primary</t>
  </si>
  <si>
    <t>PRICOA</t>
  </si>
  <si>
    <t>Coal</t>
  </si>
  <si>
    <t>PRIOIL</t>
  </si>
  <si>
    <t>Oil</t>
  </si>
  <si>
    <t>PRIGAS</t>
  </si>
  <si>
    <t>Gas</t>
  </si>
  <si>
    <t>PRIREN</t>
  </si>
  <si>
    <t>Renewable</t>
  </si>
  <si>
    <t>Primary (Non-Bio)</t>
  </si>
  <si>
    <t>Elc &amp; Heat</t>
  </si>
  <si>
    <t>ELE,CHP</t>
  </si>
  <si>
    <t>ELCSOL</t>
  </si>
  <si>
    <t>ELCNUC</t>
  </si>
  <si>
    <t>ELCHYD</t>
  </si>
  <si>
    <t>ELCWIN</t>
  </si>
  <si>
    <t>T_Neg_AndOr</t>
  </si>
  <si>
    <t>TRNELC</t>
  </si>
  <si>
    <t>Electricity</t>
  </si>
  <si>
    <t>TRNHET</t>
  </si>
  <si>
    <t>Heat</t>
  </si>
  <si>
    <t>Heat immediately after transformation</t>
  </si>
  <si>
    <t>T_ELEHET</t>
  </si>
  <si>
    <t>Transformation - Electricity and Heat production</t>
  </si>
  <si>
    <t>IRE</t>
  </si>
  <si>
    <t>COA*</t>
  </si>
  <si>
    <t>GAS*</t>
  </si>
  <si>
    <t>Supply - Primary Energy Extraction (conventional)</t>
  </si>
  <si>
    <t>OIL*</t>
  </si>
  <si>
    <t>*HYD*,*SOL*,*WIN*,*GEO*</t>
  </si>
  <si>
    <t>HET,INDHET</t>
  </si>
  <si>
    <t>Electricity immediately after transformation</t>
  </si>
  <si>
    <t>FT[_]*</t>
  </si>
  <si>
    <t>MIN*,RNW*</t>
  </si>
  <si>
    <t>PriSupp</t>
  </si>
  <si>
    <t>Prim Supply</t>
  </si>
  <si>
    <t>ELCCOA</t>
  </si>
  <si>
    <t>ELCGEO</t>
  </si>
  <si>
    <t>ELCWAS</t>
  </si>
  <si>
    <t>ELCCRP,ELCBIO</t>
  </si>
  <si>
    <t>EP[_]*</t>
  </si>
  <si>
    <t>EN[_]*</t>
  </si>
  <si>
    <t>E[_]*</t>
  </si>
  <si>
    <t>ELC</t>
  </si>
  <si>
    <t>CO2Captured</t>
  </si>
  <si>
    <t>ELECOA-S</t>
  </si>
  <si>
    <t>ELEBIO-S</t>
  </si>
  <si>
    <t>ELECOA-NS</t>
  </si>
  <si>
    <t>ELEBIO-NS</t>
  </si>
  <si>
    <t>EFD Code</t>
  </si>
  <si>
    <t>EFD Plant Type</t>
  </si>
  <si>
    <t>COU</t>
  </si>
  <si>
    <t>Coal Steam pre-  1965</t>
  </si>
  <si>
    <t>CSU</t>
  </si>
  <si>
    <t>Coal Steam post- 1965</t>
  </si>
  <si>
    <t>CSC</t>
  </si>
  <si>
    <t>CNC</t>
  </si>
  <si>
    <t>New Coal Steam</t>
  </si>
  <si>
    <t>CAV</t>
  </si>
  <si>
    <t>CAS</t>
  </si>
  <si>
    <t>STO</t>
  </si>
  <si>
    <t>Oil Steam</t>
  </si>
  <si>
    <t>STG</t>
  </si>
  <si>
    <t>Gas Steam</t>
  </si>
  <si>
    <t>STX</t>
  </si>
  <si>
    <t>Oil/Gas Steam</t>
  </si>
  <si>
    <t>CTO</t>
  </si>
  <si>
    <t>Oil Turbine</t>
  </si>
  <si>
    <t>CTG</t>
  </si>
  <si>
    <t>Gas Turbine</t>
  </si>
  <si>
    <t>CTX</t>
  </si>
  <si>
    <t>Oil/Gas Turbine</t>
  </si>
  <si>
    <t>ACT</t>
  </si>
  <si>
    <t>Advanced Turbine</t>
  </si>
  <si>
    <t>CCO</t>
  </si>
  <si>
    <t>Oil Combined Cycle</t>
  </si>
  <si>
    <t>CCG</t>
  </si>
  <si>
    <t>Gas Combined Cycle</t>
  </si>
  <si>
    <t>CCX</t>
  </si>
  <si>
    <t>ACC</t>
  </si>
  <si>
    <t>ACS</t>
  </si>
  <si>
    <t>FCG</t>
  </si>
  <si>
    <t>Fuel Cell</t>
  </si>
  <si>
    <t>CNU</t>
  </si>
  <si>
    <t>Conventional Nuclear</t>
  </si>
  <si>
    <t>ANC</t>
  </si>
  <si>
    <t>Advanced Nuclear</t>
  </si>
  <si>
    <t>BMS</t>
  </si>
  <si>
    <t>Wood/Biomass</t>
  </si>
  <si>
    <t>GTH</t>
  </si>
  <si>
    <t>Geothermal</t>
  </si>
  <si>
    <t>MSW</t>
  </si>
  <si>
    <t>Municipal Solid Waste</t>
  </si>
  <si>
    <t>HYC</t>
  </si>
  <si>
    <t>Conventional Hydroelectric</t>
  </si>
  <si>
    <t>HYR</t>
  </si>
  <si>
    <t>Reversible Hydroelectric</t>
  </si>
  <si>
    <t>WND</t>
  </si>
  <si>
    <t>Wind</t>
  </si>
  <si>
    <t>WFS</t>
  </si>
  <si>
    <t>Wind  OffShore</t>
  </si>
  <si>
    <t>STH</t>
  </si>
  <si>
    <t>Solar Thermal</t>
  </si>
  <si>
    <t>SPV</t>
  </si>
  <si>
    <t>Solar Photovoltaic</t>
  </si>
  <si>
    <t>DGB</t>
  </si>
  <si>
    <t>Distributed Generation-Base</t>
  </si>
  <si>
    <t>DGP</t>
  </si>
  <si>
    <t>Distributed Generation-Peak</t>
  </si>
  <si>
    <t>ELE</t>
  </si>
  <si>
    <t>New Adv Coal</t>
  </si>
  <si>
    <t>New Adv Coal CCS</t>
  </si>
  <si>
    <t>Adv Combined Cycle</t>
  </si>
  <si>
    <t>Adv. CC CCS</t>
  </si>
  <si>
    <t>Oil/Gas CC</t>
  </si>
  <si>
    <t>Coal Steam with Scrub</t>
  </si>
  <si>
    <t>OR</t>
  </si>
  <si>
    <t>ELEGAS-S</t>
  </si>
  <si>
    <t>ELEGAS-NS</t>
  </si>
  <si>
    <t>coal</t>
  </si>
  <si>
    <t>natural-gas</t>
  </si>
  <si>
    <t>nuclear</t>
  </si>
  <si>
    <t>hydroelectric</t>
  </si>
  <si>
    <t>geothermal</t>
  </si>
  <si>
    <t>other renewable</t>
  </si>
  <si>
    <t>liquids</t>
  </si>
  <si>
    <t>solar</t>
  </si>
  <si>
    <t>wind-powered</t>
  </si>
  <si>
    <t>ELEDST</t>
  </si>
  <si>
    <t>ELEDST-O</t>
  </si>
  <si>
    <t>ELEDST-N</t>
  </si>
  <si>
    <t>GridLev1</t>
  </si>
  <si>
    <t>GridLev2</t>
  </si>
  <si>
    <t>GridLev3</t>
  </si>
  <si>
    <t>NatGrdExt*1</t>
  </si>
  <si>
    <t>NatGrdExt*2</t>
  </si>
  <si>
    <t>NatGrdExt*3</t>
  </si>
  <si>
    <t>-*Tidal</t>
  </si>
  <si>
    <t>EP[_]*,-*Tidal</t>
  </si>
  <si>
    <t>*Tidal</t>
  </si>
  <si>
    <t>ELETID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</si>
  <si>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</si>
  <si>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</si>
  <si>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</si>
  <si>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</si>
  <si>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</si>
  <si>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</si>
  <si>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</si>
  <si>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</si>
  <si>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</si>
  <si>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</si>
  <si>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</si>
  <si>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</si>
  <si>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</si>
  <si>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</si>
  <si>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</si>
  <si>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</si>
  <si>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</si>
  <si>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</si>
  <si>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</si>
  <si>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TU[_]*-??</t>
  </si>
  <si>
    <t>Trd_IntState</t>
  </si>
  <si>
    <t>IntState Trade</t>
  </si>
  <si>
    <t>TU[_]*ELC*-??</t>
  </si>
  <si>
    <t>TrdElc_IntState</t>
  </si>
  <si>
    <t>IntState Elec Trade</t>
  </si>
  <si>
    <t>all commodities</t>
  </si>
  <si>
    <t>elec only</t>
  </si>
  <si>
    <t>ETL_CT</t>
  </si>
  <si>
    <t>ETL_AT</t>
  </si>
  <si>
    <t>-CO2Captured</t>
  </si>
  <si>
    <t>ETL_CC</t>
  </si>
  <si>
    <t>ETL_CS</t>
  </si>
  <si>
    <t>ETL_AC</t>
  </si>
  <si>
    <t>ELCGAS,ELCOIL</t>
  </si>
  <si>
    <t>EN*CT*Adv*</t>
  </si>
  <si>
    <t>EN*CC*Adv*</t>
  </si>
  <si>
    <t>EN*CC*</t>
  </si>
  <si>
    <t>ETL_PV</t>
  </si>
  <si>
    <t>EN*CT*,-*Adv*,EP*GT*,-*HR*</t>
  </si>
  <si>
    <t>EN*CC*,-*Adv*,EP*CC*,EP*GT-HR*</t>
  </si>
  <si>
    <t>Includes existing</t>
  </si>
  <si>
    <t>E[_]SPV[_]*,EP*PV*</t>
  </si>
  <si>
    <t>ETL_PC</t>
  </si>
  <si>
    <t>CombTurb</t>
  </si>
  <si>
    <t>AdvTurb</t>
  </si>
  <si>
    <t>CombCycle</t>
  </si>
  <si>
    <t>AdvCC</t>
  </si>
  <si>
    <t>GasSeq</t>
  </si>
  <si>
    <t>SolPV</t>
  </si>
  <si>
    <t>ETL_IG</t>
  </si>
  <si>
    <t>CoalPulv</t>
  </si>
  <si>
    <t>CoalIGCC</t>
  </si>
  <si>
    <t>ETL_IS</t>
  </si>
  <si>
    <t>CoalIGSeq</t>
  </si>
  <si>
    <t>ETL_WN</t>
  </si>
  <si>
    <t>ETL_WF</t>
  </si>
  <si>
    <t>WinONS</t>
  </si>
  <si>
    <t>WinOFS</t>
  </si>
  <si>
    <t>E*</t>
  </si>
  <si>
    <t>E*,-*IGCC*</t>
  </si>
  <si>
    <t>E*IGCC*</t>
  </si>
  <si>
    <t>ELCBIO</t>
  </si>
  <si>
    <t>ETL_WD</t>
  </si>
  <si>
    <t>Bio</t>
  </si>
  <si>
    <t>*WOF*,E*OFS</t>
  </si>
  <si>
    <t>E*,-*WOF*,-*OFS</t>
  </si>
  <si>
    <t>CHP</t>
  </si>
  <si>
    <t>CHPCOA</t>
  </si>
  <si>
    <t>CHPGAS</t>
  </si>
  <si>
    <t>CHPNUC</t>
  </si>
  <si>
    <t>CHPOIL</t>
  </si>
  <si>
    <t>CHPDST</t>
  </si>
  <si>
    <t>ELECRD</t>
  </si>
  <si>
    <t>CHPCRD</t>
  </si>
  <si>
    <t>EN[_]*CC*</t>
  </si>
  <si>
    <t>EN[_]*ST</t>
  </si>
  <si>
    <t>EP[_]*CT,EP[_]*GT</t>
  </si>
  <si>
    <t>EP[_]*CC*</t>
  </si>
  <si>
    <t>EP[_]*ST</t>
  </si>
  <si>
    <t>EGasOil_N-CT</t>
  </si>
  <si>
    <t>EGasOil_N-CC</t>
  </si>
  <si>
    <t>EGasOil_N-ST</t>
  </si>
  <si>
    <t>EGasOil_E-CT</t>
  </si>
  <si>
    <t>EGasOil_E-CC</t>
  </si>
  <si>
    <t>EGasOil_E-ST</t>
  </si>
  <si>
    <t>ELCGAS,ELCOIL*</t>
  </si>
  <si>
    <t>EN[_]RETargDum*</t>
  </si>
  <si>
    <t>ERETargDum</t>
  </si>
  <si>
    <t>ELE,CHP,-ERETargDum</t>
  </si>
  <si>
    <t>ELE,-ERETargDum</t>
  </si>
  <si>
    <t>CHP,-ERETargDum</t>
  </si>
  <si>
    <t>ELCCOA*</t>
  </si>
  <si>
    <t>ELCWHT,-ELCCOA*,ELCGAS</t>
  </si>
  <si>
    <t>ELCOIL,-ELCGAS,-ELCCOA*</t>
  </si>
  <si>
    <t>ELC*DST,-ELCGAS,-ELCCOA*</t>
  </si>
  <si>
    <t>ELC*CRD,-ELCGAS,-ELCCOA*</t>
  </si>
  <si>
    <t>ELESTG</t>
  </si>
  <si>
    <t>EN[_]*CT*,EN[_]*GT</t>
  </si>
  <si>
    <t>ECoal_E-CC</t>
  </si>
  <si>
    <t>ECoal_N-CC</t>
  </si>
  <si>
    <t>EN[_]*PUL*</t>
  </si>
  <si>
    <t>ECoal_N-ST</t>
  </si>
  <si>
    <t>ECoal_E-ST</t>
  </si>
  <si>
    <t>EP[_]*,-*CC*</t>
  </si>
  <si>
    <t>ECoal_N-CS</t>
  </si>
  <si>
    <t>Storage</t>
  </si>
  <si>
    <t>S_H2P</t>
  </si>
  <si>
    <t>S_H2P-All</t>
  </si>
  <si>
    <t>PRE</t>
  </si>
  <si>
    <t>S*H2*,ELCH2*</t>
  </si>
  <si>
    <t>H2 prod-all</t>
  </si>
  <si>
    <t xml:space="preserve">H2 prod </t>
  </si>
  <si>
    <t>H2 prod (CCS)</t>
  </si>
  <si>
    <t>H2 Prod Bio-all</t>
  </si>
  <si>
    <t>H2 Prod Biomass</t>
  </si>
  <si>
    <t>H2 Prod Biomass CCS</t>
  </si>
  <si>
    <t>H2 Prod Coa-all</t>
  </si>
  <si>
    <t>H2 Prod Coal</t>
  </si>
  <si>
    <t>H2 Prod Coal CCS</t>
  </si>
  <si>
    <t>H2 Prod Electricity</t>
  </si>
  <si>
    <t>H2 Prod Gas-all</t>
  </si>
  <si>
    <t>H2 Prod Gas</t>
  </si>
  <si>
    <t>H2 Prod Gas CCS</t>
  </si>
  <si>
    <t>H2 Prod Oil</t>
  </si>
  <si>
    <t>H2 Prod Nuclear</t>
  </si>
  <si>
    <t>S_H2P_BIO-All</t>
  </si>
  <si>
    <t>S_H2P_BIO</t>
  </si>
  <si>
    <t>S_H2P_BIO-CCS</t>
  </si>
  <si>
    <t>S_H2P_COA-All</t>
  </si>
  <si>
    <t>S_H2P_COA</t>
  </si>
  <si>
    <t>S_H2P_COA-CCS</t>
  </si>
  <si>
    <t>S_H2P_ELC</t>
  </si>
  <si>
    <t>S_H2P_GAS-All</t>
  </si>
  <si>
    <t>S_H2P_GAS</t>
  </si>
  <si>
    <t>S_H2P_GAS-CCS</t>
  </si>
  <si>
    <t>S_H2P_OIL</t>
  </si>
  <si>
    <t>S_H2P_NUC</t>
  </si>
  <si>
    <t>SHFO*H2*</t>
  </si>
  <si>
    <t>ENUCH2*</t>
  </si>
  <si>
    <t>ELC*,-BIO*,-COA*,-GAS*</t>
  </si>
  <si>
    <t>SGAS*H2*</t>
  </si>
  <si>
    <t>*ELCH2*</t>
  </si>
  <si>
    <t>SYNH2*</t>
  </si>
  <si>
    <t>TRNH2</t>
  </si>
  <si>
    <t>Hydrogen</t>
  </si>
  <si>
    <t>ELCCO2-Seq</t>
  </si>
  <si>
    <t>-SUPCO2-Seq</t>
  </si>
  <si>
    <t>SUPCO2-Seq</t>
  </si>
  <si>
    <t>H2 Prod Gas retrofit</t>
  </si>
  <si>
    <t>*RETCCS</t>
  </si>
  <si>
    <t>-*RETCCS</t>
  </si>
  <si>
    <t>EN[_]*,-EN_ZZ*</t>
  </si>
  <si>
    <t>²</t>
  </si>
  <si>
    <t>EN_ZZ*</t>
  </si>
  <si>
    <t>ELECOA-R</t>
  </si>
  <si>
    <t>ELEGAS-R</t>
  </si>
  <si>
    <t>S_H2P_GAS-RET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</si>
</sst>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10"/>
      <name val="MS Sans Serif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7" fillId="3" borderId="0" applyNumberFormat="0" applyBorder="0" applyAlignment="0" applyProtection="0"/>
    <xf numFmtId="0" fontId="2" fillId="0" borderId="0"/>
    <xf numFmtId="0" fontId="4" fillId="0" borderId="0"/>
    <xf numFmtId="0" fontId="1" fillId="0" borderId="0"/>
  </cellStyleXfs>
  <cellXfs count="16">
    <xf numFmtId="0" fontId="0" fillId="0" borderId="0" xfId="0"/>
    <xf numFmtId="0" fontId="3" fillId="0" borderId="0" xfId="0" applyFont="1"/>
    <xf numFmtId="0" fontId="2" fillId="2" borderId="1" xfId="0" applyFont="1" applyFill="1" applyBorder="1"/>
    <xf numFmtId="0" fontId="2" fillId="2" borderId="0" xfId="0" applyFont="1" applyFill="1"/>
    <xf numFmtId="0" fontId="0" fillId="0" borderId="0" xfId="0"/>
    <xf numFmtId="0" fontId="0" fillId="0" borderId="0" xfId="0"/>
    <xf numFmtId="0" fontId="0" fillId="0" borderId="0" xfId="0"/>
    <xf numFmtId="0" fontId="5" fillId="0" borderId="0" xfId="0" applyFont="1"/>
    <xf numFmtId="0" fontId="0" fillId="0" borderId="0" xfId="0"/>
    <xf numFmtId="0" fontId="6" fillId="2" borderId="1" xfId="0" applyFont="1" applyFill="1" applyBorder="1"/>
    <xf numFmtId="0" fontId="6" fillId="2" borderId="0" xfId="0" applyFont="1" applyFill="1"/>
    <xf numFmtId="0" fontId="0" fillId="0" borderId="0" xfId="0" quotePrefix="1"/>
    <xf numFmtId="0" fontId="8" fillId="0" borderId="0" xfId="0" applyFont="1"/>
    <xf numFmtId="0" fontId="7" fillId="3" borderId="0" xfId="1"/>
    <xf numFmtId="0" fontId="0" fillId="0" borderId="0" xfId="0" quotePrefix="1"/>
    <xf numFmtId="0" fontId="0" fillId="4" borderId="0" xfId="0" applyFill="1"/>
  </cellXfs>
  <cellStyles count="5">
    <cellStyle name="Neutral" xfId="1" builtinId="28"/>
    <cellStyle name="Normal" xfId="0" builtinId="0"/>
    <cellStyle name="Normal 10" xfId="2" xr:uid="{00000000-0005-0000-0000-000002000000}"/>
    <cellStyle name="Normal 4" xfId="3" xr:uid="{00000000-0005-0000-0000-000003000000}"/>
    <cellStyle name="Normale_Scen_UC_IND-StrucConst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B2:J86"/>
  <sheetViews>
    <sheetView tabSelected="1" zoomScaleNormal="100" workbookViewId="0">
      <pane ySplit="3" topLeftCell="A55" activePane="bottomLeft" state="frozen"/>
      <selection pane="bottomLeft" activeCell="J66" sqref="J66"/>
    </sheetView>
  </sheetViews>
  <sheetFormatPr defaultColWidth="9.21875" defaultRowHeight="14.4" x14ac:dyDescent="0.3"/>
  <cols>
    <col min="1" max="1" width="9.21875" style="8"/>
    <col min="2" max="2" width="21.77734375" style="8" bestFit="1" customWidth="1"/>
    <col min="3" max="3" width="13.21875" style="8" bestFit="1" customWidth="1"/>
    <col min="4" max="4" width="8.44140625" style="8" bestFit="1" customWidth="1"/>
    <col min="5" max="5" width="24.77734375" style="8" bestFit="1" customWidth="1"/>
    <col min="6" max="6" width="13.5546875" style="8" bestFit="1" customWidth="1"/>
    <col min="7" max="7" width="17.21875" style="8" bestFit="1" customWidth="1"/>
    <col min="8" max="8" width="16" style="8" bestFit="1" customWidth="1"/>
    <col min="9" max="9" width="12.5546875" style="8" bestFit="1" customWidth="1"/>
    <col min="10" max="10" width="77.77734375" style="8" bestFit="1" customWidth="1"/>
    <col min="11" max="16384" width="9.21875" style="8"/>
  </cols>
  <sheetData>
    <row r="2" spans="2:10" x14ac:dyDescent="0.3">
      <c r="B2" s="7" t="s">
        <v>7</v>
      </c>
    </row>
    <row r="3" spans="2:10" ht="15" thickBot="1" x14ac:dyDescent="0.35">
      <c r="B3" s="9" t="s">
        <v>2</v>
      </c>
      <c r="C3" s="9" t="s">
        <v>1</v>
      </c>
      <c r="D3" s="9" t="s">
        <v>4</v>
      </c>
      <c r="E3" s="9" t="s">
        <v>0</v>
      </c>
      <c r="F3" s="9" t="s">
        <v>3</v>
      </c>
      <c r="G3" s="9" t="s">
        <v>5</v>
      </c>
      <c r="H3" s="9" t="s">
        <v>6</v>
      </c>
      <c r="I3" s="10" t="s">
        <v>33</v>
      </c>
      <c r="J3" s="9" t="s">
        <v>8</v>
      </c>
    </row>
    <row r="4" spans="2:10" x14ac:dyDescent="0.3">
      <c r="B4" s="8" t="s">
        <v>41</v>
      </c>
      <c r="C4" s="8" t="s">
        <v>50</v>
      </c>
      <c r="G4" s="8" t="s">
        <v>51</v>
      </c>
      <c r="H4" s="8" t="s">
        <v>52</v>
      </c>
      <c r="J4" s="8" t="s">
        <v>44</v>
      </c>
    </row>
    <row r="5" spans="2:10" x14ac:dyDescent="0.3">
      <c r="C5" s="8" t="s">
        <v>49</v>
      </c>
      <c r="G5" s="8" t="s">
        <v>39</v>
      </c>
      <c r="H5" s="8" t="s">
        <v>27</v>
      </c>
      <c r="J5" s="8" t="s">
        <v>40</v>
      </c>
    </row>
    <row r="6" spans="2:10" x14ac:dyDescent="0.3">
      <c r="B6" s="8" t="s">
        <v>247</v>
      </c>
      <c r="E6" s="8" t="s">
        <v>56</v>
      </c>
      <c r="F6" s="11"/>
      <c r="G6" s="8" t="str">
        <f>"ELE"&amp;RIGHT(E6,3)</f>
        <v>ELEBIO</v>
      </c>
      <c r="H6" s="8" t="s">
        <v>141</v>
      </c>
    </row>
    <row r="7" spans="2:10" x14ac:dyDescent="0.3">
      <c r="B7" s="8" t="s">
        <v>248</v>
      </c>
      <c r="E7" s="8" t="s">
        <v>56</v>
      </c>
      <c r="F7" s="14"/>
      <c r="G7" s="8" t="str">
        <f>"CHP"&amp;RIGHT(E7,3)</f>
        <v>CHPBIO</v>
      </c>
      <c r="H7" s="8" t="s">
        <v>141</v>
      </c>
    </row>
    <row r="8" spans="2:10" x14ac:dyDescent="0.3">
      <c r="B8" s="8" t="s">
        <v>126</v>
      </c>
      <c r="E8" s="14" t="s">
        <v>249</v>
      </c>
      <c r="G8" s="8" t="str">
        <f>"ELE"&amp;MID(E8,4,3)</f>
        <v>ELECOA</v>
      </c>
      <c r="H8" s="8" t="s">
        <v>136</v>
      </c>
    </row>
    <row r="9" spans="2:10" x14ac:dyDescent="0.3">
      <c r="B9" s="8" t="s">
        <v>224</v>
      </c>
      <c r="E9" s="11" t="str">
        <f>E8</f>
        <v>ELCCOA*</v>
      </c>
      <c r="G9" s="8" t="s">
        <v>225</v>
      </c>
      <c r="H9" s="8" t="s">
        <v>136</v>
      </c>
    </row>
    <row r="10" spans="2:10" x14ac:dyDescent="0.3">
      <c r="B10" s="8" t="s">
        <v>126</v>
      </c>
      <c r="E10" s="8" t="s">
        <v>250</v>
      </c>
      <c r="G10" s="8" t="str">
        <f>"ELE"&amp;RIGHT(E10,3)</f>
        <v>ELEGAS</v>
      </c>
      <c r="H10" s="8" t="s">
        <v>137</v>
      </c>
    </row>
    <row r="11" spans="2:10" x14ac:dyDescent="0.3">
      <c r="B11" s="8" t="s">
        <v>224</v>
      </c>
      <c r="E11" s="8" t="str">
        <f>E10</f>
        <v>ELCWHT,-ELCCOA*,ELCGAS</v>
      </c>
      <c r="G11" s="8" t="s">
        <v>226</v>
      </c>
      <c r="H11" s="8" t="str">
        <f>H10</f>
        <v>natural-gas</v>
      </c>
    </row>
    <row r="12" spans="2:10" x14ac:dyDescent="0.3">
      <c r="B12" s="8" t="s">
        <v>247</v>
      </c>
      <c r="E12" s="8" t="s">
        <v>54</v>
      </c>
      <c r="F12" s="11"/>
      <c r="G12" s="8" t="str">
        <f>"ELE"&amp;RIGHT(E12,3)</f>
        <v>ELEGEO</v>
      </c>
      <c r="H12" s="8" t="s">
        <v>140</v>
      </c>
      <c r="I12" s="12"/>
    </row>
    <row r="13" spans="2:10" x14ac:dyDescent="0.3">
      <c r="B13" s="8" t="s">
        <v>248</v>
      </c>
      <c r="E13" s="8" t="s">
        <v>54</v>
      </c>
      <c r="F13" s="14"/>
      <c r="G13" s="8" t="str">
        <f>"CHP"&amp;RIGHT(E13,3)</f>
        <v>CHPGEO</v>
      </c>
      <c r="H13" s="8" t="s">
        <v>140</v>
      </c>
      <c r="I13" s="12"/>
    </row>
    <row r="14" spans="2:10" x14ac:dyDescent="0.3">
      <c r="B14" s="8" t="s">
        <v>246</v>
      </c>
      <c r="C14" s="11" t="s">
        <v>154</v>
      </c>
      <c r="E14" s="8" t="s">
        <v>31</v>
      </c>
      <c r="G14" s="8" t="str">
        <f>"ELE"&amp;RIGHT(E14,3)</f>
        <v>ELEHYD</v>
      </c>
      <c r="H14" s="8" t="s">
        <v>139</v>
      </c>
      <c r="I14" s="8" t="s">
        <v>133</v>
      </c>
    </row>
    <row r="15" spans="2:10" x14ac:dyDescent="0.3">
      <c r="B15" s="8" t="s">
        <v>126</v>
      </c>
      <c r="E15" s="8" t="s">
        <v>30</v>
      </c>
      <c r="G15" s="8" t="str">
        <f>"ELE"&amp;RIGHT(E15,3)</f>
        <v>ELENUC</v>
      </c>
      <c r="H15" s="8" t="s">
        <v>138</v>
      </c>
    </row>
    <row r="16" spans="2:10" x14ac:dyDescent="0.3">
      <c r="B16" s="8" t="s">
        <v>224</v>
      </c>
      <c r="E16" s="8" t="str">
        <f>E15</f>
        <v>ELCNUC</v>
      </c>
      <c r="G16" s="8" t="s">
        <v>227</v>
      </c>
      <c r="H16" s="8" t="s">
        <v>138</v>
      </c>
    </row>
    <row r="17" spans="2:8" x14ac:dyDescent="0.3">
      <c r="B17" s="8" t="s">
        <v>126</v>
      </c>
      <c r="E17" s="8" t="s">
        <v>251</v>
      </c>
      <c r="G17" s="8" t="str">
        <f>"ELE"&amp;MID(E17,4,3)</f>
        <v>ELEOIL</v>
      </c>
      <c r="H17" s="8" t="s">
        <v>142</v>
      </c>
    </row>
    <row r="18" spans="2:8" x14ac:dyDescent="0.3">
      <c r="B18" s="8" t="s">
        <v>126</v>
      </c>
      <c r="E18" s="8" t="s">
        <v>252</v>
      </c>
      <c r="G18" s="8" t="s">
        <v>145</v>
      </c>
      <c r="H18" s="8" t="s">
        <v>142</v>
      </c>
    </row>
    <row r="19" spans="2:8" x14ac:dyDescent="0.3">
      <c r="B19" s="8" t="s">
        <v>224</v>
      </c>
      <c r="E19" s="8" t="str">
        <f>E17</f>
        <v>ELCOIL,-ELCGAS,-ELCCOA*</v>
      </c>
      <c r="G19" s="8" t="s">
        <v>228</v>
      </c>
      <c r="H19" s="8" t="s">
        <v>142</v>
      </c>
    </row>
    <row r="20" spans="2:8" x14ac:dyDescent="0.3">
      <c r="B20" s="8" t="s">
        <v>224</v>
      </c>
      <c r="E20" s="8" t="str">
        <f>E18</f>
        <v>ELC*DST,-ELCGAS,-ELCCOA*</v>
      </c>
      <c r="G20" s="8" t="s">
        <v>229</v>
      </c>
      <c r="H20" s="8" t="s">
        <v>142</v>
      </c>
    </row>
    <row r="21" spans="2:8" x14ac:dyDescent="0.3">
      <c r="B21" s="8" t="s">
        <v>126</v>
      </c>
      <c r="E21" s="8" t="s">
        <v>253</v>
      </c>
      <c r="G21" s="8" t="s">
        <v>230</v>
      </c>
      <c r="H21" s="8" t="s">
        <v>142</v>
      </c>
    </row>
    <row r="22" spans="2:8" x14ac:dyDescent="0.3">
      <c r="B22" s="8" t="s">
        <v>224</v>
      </c>
      <c r="E22" s="8" t="s">
        <v>253</v>
      </c>
      <c r="G22" s="8" t="s">
        <v>231</v>
      </c>
      <c r="H22" s="8" t="s">
        <v>142</v>
      </c>
    </row>
    <row r="23" spans="2:8" x14ac:dyDescent="0.3">
      <c r="B23" s="8" t="s">
        <v>246</v>
      </c>
      <c r="E23" s="8" t="s">
        <v>29</v>
      </c>
      <c r="G23" s="8" t="str">
        <f>"ELE"&amp;RIGHT(E23,3)</f>
        <v>ELESOL</v>
      </c>
      <c r="H23" s="8" t="s">
        <v>143</v>
      </c>
    </row>
    <row r="24" spans="2:8" x14ac:dyDescent="0.3">
      <c r="B24" s="8" t="s">
        <v>126</v>
      </c>
      <c r="E24" s="8" t="s">
        <v>55</v>
      </c>
      <c r="G24" s="8" t="str">
        <f>"ELE"&amp;RIGHT(E24,3)</f>
        <v>ELEWAS</v>
      </c>
      <c r="H24" s="8" t="s">
        <v>141</v>
      </c>
    </row>
    <row r="25" spans="2:8" x14ac:dyDescent="0.3">
      <c r="B25" s="8" t="s">
        <v>224</v>
      </c>
      <c r="E25" s="8" t="s">
        <v>55</v>
      </c>
      <c r="G25" s="8" t="str">
        <f>"CHP"&amp;RIGHT(E25,3)</f>
        <v>CHPWAS</v>
      </c>
      <c r="H25" s="8" t="s">
        <v>141</v>
      </c>
    </row>
    <row r="26" spans="2:8" x14ac:dyDescent="0.3">
      <c r="B26" s="8" t="s">
        <v>246</v>
      </c>
      <c r="E26" s="8" t="s">
        <v>32</v>
      </c>
      <c r="G26" s="8" t="str">
        <f>"ELE"&amp;RIGHT(E26,3)</f>
        <v>ELEWIN</v>
      </c>
      <c r="H26" s="8" t="s">
        <v>144</v>
      </c>
    </row>
    <row r="27" spans="2:8" x14ac:dyDescent="0.3">
      <c r="B27" s="8" t="s">
        <v>28</v>
      </c>
      <c r="C27" s="8" t="s">
        <v>156</v>
      </c>
      <c r="E27" s="8" t="s">
        <v>31</v>
      </c>
      <c r="G27" s="8" t="s">
        <v>157</v>
      </c>
      <c r="H27" s="8" t="s">
        <v>141</v>
      </c>
    </row>
    <row r="28" spans="2:8" x14ac:dyDescent="0.3">
      <c r="B28" s="8" t="s">
        <v>28</v>
      </c>
      <c r="C28" s="8" t="s">
        <v>57</v>
      </c>
      <c r="E28" s="8" t="str">
        <f>E6</f>
        <v>ELCCRP,ELCBIO</v>
      </c>
      <c r="G28" s="8" t="str">
        <f>G6&amp;"-O"</f>
        <v>ELEBIO-O</v>
      </c>
      <c r="H28" s="8" t="str">
        <f>G28</f>
        <v>ELEBIO-O</v>
      </c>
    </row>
    <row r="29" spans="2:8" x14ac:dyDescent="0.3">
      <c r="B29" s="8" t="s">
        <v>28</v>
      </c>
      <c r="C29" s="8" t="s">
        <v>57</v>
      </c>
      <c r="E29" s="8" t="str">
        <f>E8</f>
        <v>ELCCOA*</v>
      </c>
      <c r="G29" s="8" t="str">
        <f>G8&amp;"-O"</f>
        <v>ELECOA-O</v>
      </c>
      <c r="H29" s="8" t="str">
        <f t="shared" ref="H29:H51" si="0">G29</f>
        <v>ELECOA-O</v>
      </c>
    </row>
    <row r="30" spans="2:8" x14ac:dyDescent="0.3">
      <c r="B30" s="8" t="s">
        <v>28</v>
      </c>
      <c r="C30" s="8" t="s">
        <v>57</v>
      </c>
      <c r="E30" s="8" t="str">
        <f>E10</f>
        <v>ELCWHT,-ELCCOA*,ELCGAS</v>
      </c>
      <c r="G30" s="8" t="str">
        <f>G10&amp;"-O"</f>
        <v>ELEGAS-O</v>
      </c>
      <c r="H30" s="8" t="str">
        <f t="shared" si="0"/>
        <v>ELEGAS-O</v>
      </c>
    </row>
    <row r="31" spans="2:8" x14ac:dyDescent="0.3">
      <c r="B31" s="8" t="s">
        <v>28</v>
      </c>
      <c r="C31" s="8" t="s">
        <v>57</v>
      </c>
      <c r="E31" s="8" t="str">
        <f>E12</f>
        <v>ELCGEO</v>
      </c>
      <c r="G31" s="8" t="str">
        <f>G12&amp;"-O"</f>
        <v>ELEGEO-O</v>
      </c>
      <c r="H31" s="8" t="str">
        <f t="shared" si="0"/>
        <v>ELEGEO-O</v>
      </c>
    </row>
    <row r="32" spans="2:8" x14ac:dyDescent="0.3">
      <c r="B32" s="8" t="s">
        <v>28</v>
      </c>
      <c r="C32" s="8" t="s">
        <v>155</v>
      </c>
      <c r="E32" s="8" t="str">
        <f>E14</f>
        <v>ELCHYD</v>
      </c>
      <c r="G32" s="8" t="str">
        <f>G14&amp;"-O"</f>
        <v>ELEHYD-O</v>
      </c>
      <c r="H32" s="8" t="str">
        <f t="shared" si="0"/>
        <v>ELEHYD-O</v>
      </c>
    </row>
    <row r="33" spans="2:8" x14ac:dyDescent="0.3">
      <c r="B33" s="8" t="s">
        <v>28</v>
      </c>
      <c r="C33" s="8" t="s">
        <v>57</v>
      </c>
      <c r="E33" s="8" t="str">
        <f>E15</f>
        <v>ELCNUC</v>
      </c>
      <c r="G33" s="8" t="str">
        <f>G15&amp;"-O"</f>
        <v>ELENUC-O</v>
      </c>
      <c r="H33" s="8" t="str">
        <f t="shared" si="0"/>
        <v>ELENUC-O</v>
      </c>
    </row>
    <row r="34" spans="2:8" x14ac:dyDescent="0.3">
      <c r="B34" s="8" t="s">
        <v>28</v>
      </c>
      <c r="C34" s="8" t="s">
        <v>57</v>
      </c>
      <c r="E34" s="8" t="str">
        <f>E17</f>
        <v>ELCOIL,-ELCGAS,-ELCCOA*</v>
      </c>
      <c r="G34" s="8" t="str">
        <f>G17&amp;"-O"</f>
        <v>ELEOIL-O</v>
      </c>
      <c r="H34" s="8" t="str">
        <f t="shared" si="0"/>
        <v>ELEOIL-O</v>
      </c>
    </row>
    <row r="35" spans="2:8" x14ac:dyDescent="0.3">
      <c r="B35" s="8" t="s">
        <v>28</v>
      </c>
      <c r="C35" s="8" t="s">
        <v>57</v>
      </c>
      <c r="E35" s="8" t="str">
        <f>E18</f>
        <v>ELC*DST,-ELCGAS,-ELCCOA*</v>
      </c>
      <c r="G35" s="8" t="s">
        <v>146</v>
      </c>
      <c r="H35" s="8" t="str">
        <f t="shared" si="0"/>
        <v>ELEDST-O</v>
      </c>
    </row>
    <row r="36" spans="2:8" x14ac:dyDescent="0.3">
      <c r="B36" s="8" t="s">
        <v>28</v>
      </c>
      <c r="C36" s="8" t="s">
        <v>57</v>
      </c>
      <c r="E36" s="8" t="str">
        <f>E23</f>
        <v>ELCSOL</v>
      </c>
      <c r="G36" s="8" t="str">
        <f>G23&amp;"-O"</f>
        <v>ELESOL-O</v>
      </c>
      <c r="H36" s="8" t="str">
        <f t="shared" si="0"/>
        <v>ELESOL-O</v>
      </c>
    </row>
    <row r="37" spans="2:8" x14ac:dyDescent="0.3">
      <c r="B37" s="8" t="s">
        <v>28</v>
      </c>
      <c r="C37" s="8" t="s">
        <v>57</v>
      </c>
      <c r="E37" s="8" t="str">
        <f>E24</f>
        <v>ELCWAS</v>
      </c>
      <c r="G37" s="8" t="str">
        <f>G24&amp;"-O"</f>
        <v>ELEWAS-O</v>
      </c>
      <c r="H37" s="8" t="str">
        <f t="shared" si="0"/>
        <v>ELEWAS-O</v>
      </c>
    </row>
    <row r="38" spans="2:8" x14ac:dyDescent="0.3">
      <c r="B38" s="8" t="s">
        <v>28</v>
      </c>
      <c r="C38" s="8" t="s">
        <v>57</v>
      </c>
      <c r="E38" s="8" t="str">
        <f>E26</f>
        <v>ELCWIN</v>
      </c>
      <c r="G38" s="8" t="str">
        <f>G26&amp;"-O"</f>
        <v>ELEWIN-O</v>
      </c>
      <c r="H38" s="8" t="str">
        <f t="shared" si="0"/>
        <v>ELEWIN-O</v>
      </c>
    </row>
    <row r="39" spans="2:8" x14ac:dyDescent="0.3">
      <c r="B39" s="8" t="s">
        <v>246</v>
      </c>
      <c r="C39" s="8" t="s">
        <v>58</v>
      </c>
      <c r="E39" s="8" t="str">
        <f t="shared" ref="E39:E49" si="1">E28</f>
        <v>ELCCRP,ELCBIO</v>
      </c>
      <c r="G39" s="8" t="str">
        <f>G6&amp;"-N"</f>
        <v>ELEBIO-N</v>
      </c>
      <c r="H39" s="8" t="str">
        <f t="shared" si="0"/>
        <v>ELEBIO-N</v>
      </c>
    </row>
    <row r="40" spans="2:8" x14ac:dyDescent="0.3">
      <c r="B40" s="8" t="s">
        <v>28</v>
      </c>
      <c r="C40" s="8" t="s">
        <v>58</v>
      </c>
      <c r="E40" s="8" t="str">
        <f t="shared" si="1"/>
        <v>ELCCOA*</v>
      </c>
      <c r="G40" s="8" t="str">
        <f>G8&amp;"-N"</f>
        <v>ELECOA-N</v>
      </c>
      <c r="H40" s="8" t="str">
        <f t="shared" si="0"/>
        <v>ELECOA-N</v>
      </c>
    </row>
    <row r="41" spans="2:8" x14ac:dyDescent="0.3">
      <c r="B41" s="8" t="s">
        <v>28</v>
      </c>
      <c r="C41" s="8" t="s">
        <v>58</v>
      </c>
      <c r="E41" s="8" t="str">
        <f t="shared" si="1"/>
        <v>ELCWHT,-ELCCOA*,ELCGAS</v>
      </c>
      <c r="G41" s="8" t="str">
        <f>G10&amp;"-N"</f>
        <v>ELEGAS-N</v>
      </c>
      <c r="H41" s="8" t="str">
        <f t="shared" si="0"/>
        <v>ELEGAS-N</v>
      </c>
    </row>
    <row r="42" spans="2:8" x14ac:dyDescent="0.3">
      <c r="B42" s="8" t="s">
        <v>246</v>
      </c>
      <c r="C42" s="8" t="s">
        <v>58</v>
      </c>
      <c r="E42" s="8" t="str">
        <f t="shared" si="1"/>
        <v>ELCGEO</v>
      </c>
      <c r="G42" s="8" t="str">
        <f>G12&amp;"-N"</f>
        <v>ELEGEO-N</v>
      </c>
      <c r="H42" s="8" t="str">
        <f t="shared" si="0"/>
        <v>ELEGEO-N</v>
      </c>
    </row>
    <row r="43" spans="2:8" x14ac:dyDescent="0.3">
      <c r="B43" s="8" t="s">
        <v>246</v>
      </c>
      <c r="C43" s="8" t="s">
        <v>58</v>
      </c>
      <c r="E43" s="8" t="str">
        <f t="shared" si="1"/>
        <v>ELCHYD</v>
      </c>
      <c r="G43" s="8" t="str">
        <f>G14&amp;"-N"</f>
        <v>ELEHYD-N</v>
      </c>
      <c r="H43" s="8" t="str">
        <f t="shared" si="0"/>
        <v>ELEHYD-N</v>
      </c>
    </row>
    <row r="44" spans="2:8" x14ac:dyDescent="0.3">
      <c r="B44" s="8" t="s">
        <v>28</v>
      </c>
      <c r="C44" s="8" t="s">
        <v>58</v>
      </c>
      <c r="E44" s="8" t="str">
        <f t="shared" si="1"/>
        <v>ELCNUC</v>
      </c>
      <c r="G44" s="8" t="str">
        <f>G15&amp;"-N"</f>
        <v>ELENUC-N</v>
      </c>
      <c r="H44" s="8" t="str">
        <f t="shared" si="0"/>
        <v>ELENUC-N</v>
      </c>
    </row>
    <row r="45" spans="2:8" x14ac:dyDescent="0.3">
      <c r="B45" s="8" t="s">
        <v>28</v>
      </c>
      <c r="C45" s="8" t="s">
        <v>58</v>
      </c>
      <c r="E45" s="8" t="str">
        <f t="shared" si="1"/>
        <v>ELCOIL,-ELCGAS,-ELCCOA*</v>
      </c>
      <c r="G45" s="8" t="str">
        <f>G17&amp;"-N"</f>
        <v>ELEOIL-N</v>
      </c>
      <c r="H45" s="8" t="str">
        <f t="shared" si="0"/>
        <v>ELEOIL-N</v>
      </c>
    </row>
    <row r="46" spans="2:8" x14ac:dyDescent="0.3">
      <c r="B46" s="8" t="s">
        <v>28</v>
      </c>
      <c r="C46" s="8" t="s">
        <v>58</v>
      </c>
      <c r="E46" s="8" t="str">
        <f t="shared" si="1"/>
        <v>ELC*DST,-ELCGAS,-ELCCOA*</v>
      </c>
      <c r="G46" s="8" t="s">
        <v>147</v>
      </c>
      <c r="H46" s="8" t="str">
        <f t="shared" si="0"/>
        <v>ELEDST-N</v>
      </c>
    </row>
    <row r="47" spans="2:8" x14ac:dyDescent="0.3">
      <c r="B47" s="8" t="s">
        <v>246</v>
      </c>
      <c r="C47" s="8" t="s">
        <v>59</v>
      </c>
      <c r="E47" s="8" t="str">
        <f t="shared" si="1"/>
        <v>ELCSOL</v>
      </c>
      <c r="G47" s="8" t="str">
        <f>G23&amp;"-N"</f>
        <v>ELESOL-N</v>
      </c>
      <c r="H47" s="8" t="str">
        <f t="shared" si="0"/>
        <v>ELESOL-N</v>
      </c>
    </row>
    <row r="48" spans="2:8" x14ac:dyDescent="0.3">
      <c r="B48" s="8" t="s">
        <v>28</v>
      </c>
      <c r="C48" s="8" t="s">
        <v>58</v>
      </c>
      <c r="E48" s="8" t="str">
        <f t="shared" si="1"/>
        <v>ELCWAS</v>
      </c>
      <c r="G48" s="8" t="str">
        <f>G24&amp;"-N"</f>
        <v>ELEWAS-N</v>
      </c>
      <c r="H48" s="8" t="str">
        <f t="shared" si="0"/>
        <v>ELEWAS-N</v>
      </c>
    </row>
    <row r="49" spans="2:9" x14ac:dyDescent="0.3">
      <c r="B49" s="8" t="s">
        <v>246</v>
      </c>
      <c r="C49" s="8" t="s">
        <v>59</v>
      </c>
      <c r="E49" s="8" t="str">
        <f t="shared" si="1"/>
        <v>ELCWIN</v>
      </c>
      <c r="G49" s="8" t="str">
        <f>G26&amp;"-N"</f>
        <v>ELEWIN-N</v>
      </c>
      <c r="H49" s="8" t="str">
        <f t="shared" si="0"/>
        <v>ELEWIN-N</v>
      </c>
    </row>
    <row r="50" spans="2:9" x14ac:dyDescent="0.3">
      <c r="B50" s="12" t="s">
        <v>126</v>
      </c>
      <c r="C50" s="8" t="s">
        <v>309</v>
      </c>
      <c r="E50" s="8" t="s">
        <v>249</v>
      </c>
      <c r="F50" s="8" t="s">
        <v>303</v>
      </c>
      <c r="G50" s="8" t="s">
        <v>62</v>
      </c>
      <c r="H50" s="8" t="str">
        <f t="shared" si="0"/>
        <v>ELECOA-S</v>
      </c>
    </row>
    <row r="51" spans="2:9" x14ac:dyDescent="0.3">
      <c r="B51" s="12" t="s">
        <v>126</v>
      </c>
      <c r="C51" s="8" t="s">
        <v>309</v>
      </c>
      <c r="E51" s="8" t="str">
        <f>E10</f>
        <v>ELCWHT,-ELCCOA*,ELCGAS</v>
      </c>
      <c r="F51" s="8" t="str">
        <f>F50</f>
        <v>ELCCO2-Seq</v>
      </c>
      <c r="G51" s="8" t="s">
        <v>134</v>
      </c>
      <c r="H51" s="8" t="str">
        <f t="shared" si="0"/>
        <v>ELEGAS-S</v>
      </c>
    </row>
    <row r="52" spans="2:9" x14ac:dyDescent="0.3">
      <c r="B52" s="12" t="s">
        <v>126</v>
      </c>
      <c r="C52" s="8" t="s">
        <v>58</v>
      </c>
      <c r="E52" s="8" t="str">
        <f>E28</f>
        <v>ELCCRP,ELCBIO</v>
      </c>
      <c r="F52" s="8" t="str">
        <f>F51</f>
        <v>ELCCO2-Seq</v>
      </c>
      <c r="G52" s="8" t="s">
        <v>63</v>
      </c>
      <c r="H52" s="8" t="str">
        <f t="shared" ref="H52:H62" si="2">G52</f>
        <v>ELEBIO-S</v>
      </c>
    </row>
    <row r="53" spans="2:9" x14ac:dyDescent="0.3">
      <c r="B53" s="12" t="s">
        <v>126</v>
      </c>
      <c r="E53" s="8" t="str">
        <f>E50</f>
        <v>ELCCOA*</v>
      </c>
      <c r="F53" s="8" t="str">
        <f>"-"&amp;$F$50</f>
        <v>-ELCCO2-Seq</v>
      </c>
      <c r="G53" s="8" t="s">
        <v>64</v>
      </c>
      <c r="H53" s="8" t="str">
        <f t="shared" si="2"/>
        <v>ELECOA-NS</v>
      </c>
    </row>
    <row r="54" spans="2:9" x14ac:dyDescent="0.3">
      <c r="B54" s="12" t="s">
        <v>126</v>
      </c>
      <c r="E54" s="8" t="str">
        <f>E51</f>
        <v>ELCWHT,-ELCCOA*,ELCGAS</v>
      </c>
      <c r="F54" s="8" t="str">
        <f>"-"&amp;$F$50</f>
        <v>-ELCCO2-Seq</v>
      </c>
      <c r="G54" s="8" t="s">
        <v>135</v>
      </c>
      <c r="H54" s="8" t="str">
        <f t="shared" si="2"/>
        <v>ELEGAS-NS</v>
      </c>
      <c r="I54" s="8" t="s">
        <v>133</v>
      </c>
    </row>
    <row r="55" spans="2:9" x14ac:dyDescent="0.3">
      <c r="B55" s="12" t="s">
        <v>126</v>
      </c>
      <c r="E55" s="8" t="str">
        <f>E52</f>
        <v>ELCCRP,ELCBIO</v>
      </c>
      <c r="F55" s="8" t="str">
        <f>"-"&amp;$F$50</f>
        <v>-ELCCO2-Seq</v>
      </c>
      <c r="G55" s="8" t="s">
        <v>65</v>
      </c>
      <c r="H55" s="8" t="str">
        <f t="shared" si="2"/>
        <v>ELEBIO-NS</v>
      </c>
    </row>
    <row r="56" spans="2:9" x14ac:dyDescent="0.3">
      <c r="B56" s="8" t="s">
        <v>310</v>
      </c>
      <c r="C56" s="8" t="s">
        <v>255</v>
      </c>
      <c r="E56" s="8" t="s">
        <v>243</v>
      </c>
      <c r="G56" s="8" t="s">
        <v>237</v>
      </c>
      <c r="H56" s="8" t="str">
        <f t="shared" si="2"/>
        <v>EGasOil_N-CT</v>
      </c>
    </row>
    <row r="57" spans="2:9" x14ac:dyDescent="0.3">
      <c r="B57" s="8" t="s">
        <v>126</v>
      </c>
      <c r="C57" s="8" t="s">
        <v>232</v>
      </c>
      <c r="E57" s="8" t="s">
        <v>243</v>
      </c>
      <c r="G57" s="8" t="s">
        <v>238</v>
      </c>
      <c r="H57" s="8" t="str">
        <f t="shared" si="2"/>
        <v>EGasOil_N-CC</v>
      </c>
    </row>
    <row r="58" spans="2:9" x14ac:dyDescent="0.3">
      <c r="B58" s="8" t="s">
        <v>126</v>
      </c>
      <c r="C58" s="8" t="s">
        <v>233</v>
      </c>
      <c r="E58" s="8" t="s">
        <v>243</v>
      </c>
      <c r="G58" s="8" t="s">
        <v>239</v>
      </c>
      <c r="H58" s="8" t="str">
        <f t="shared" si="2"/>
        <v>EGasOil_N-ST</v>
      </c>
    </row>
    <row r="59" spans="2:9" x14ac:dyDescent="0.3">
      <c r="B59" s="8" t="s">
        <v>126</v>
      </c>
      <c r="C59" s="8" t="s">
        <v>234</v>
      </c>
      <c r="E59" s="8" t="s">
        <v>243</v>
      </c>
      <c r="G59" s="8" t="s">
        <v>240</v>
      </c>
      <c r="H59" s="8" t="str">
        <f t="shared" si="2"/>
        <v>EGasOil_E-CT</v>
      </c>
    </row>
    <row r="60" spans="2:9" x14ac:dyDescent="0.3">
      <c r="B60" s="8" t="s">
        <v>126</v>
      </c>
      <c r="C60" s="8" t="s">
        <v>235</v>
      </c>
      <c r="E60" s="8" t="s">
        <v>243</v>
      </c>
      <c r="G60" s="8" t="s">
        <v>241</v>
      </c>
      <c r="H60" s="8" t="str">
        <f t="shared" si="2"/>
        <v>EGasOil_E-CC</v>
      </c>
    </row>
    <row r="61" spans="2:9" x14ac:dyDescent="0.3">
      <c r="B61" s="8" t="s">
        <v>126</v>
      </c>
      <c r="C61" s="8" t="s">
        <v>236</v>
      </c>
      <c r="E61" s="8" t="s">
        <v>243</v>
      </c>
      <c r="G61" s="8" t="s">
        <v>242</v>
      </c>
      <c r="H61" s="8" t="str">
        <f t="shared" si="2"/>
        <v>EGasOil_E-ST</v>
      </c>
    </row>
    <row r="62" spans="2:9" x14ac:dyDescent="0.3">
      <c r="C62" s="8" t="s">
        <v>244</v>
      </c>
      <c r="G62" s="8" t="s">
        <v>245</v>
      </c>
      <c r="H62" s="8" t="str">
        <f t="shared" si="2"/>
        <v>ERETargDum</v>
      </c>
    </row>
    <row r="63" spans="2:9" x14ac:dyDescent="0.3">
      <c r="B63" s="8" t="s">
        <v>79</v>
      </c>
      <c r="F63" s="8" t="s">
        <v>60</v>
      </c>
      <c r="G63" s="8" t="s">
        <v>254</v>
      </c>
      <c r="H63" s="8" t="s">
        <v>263</v>
      </c>
    </row>
    <row r="64" spans="2:9" x14ac:dyDescent="0.3">
      <c r="B64" s="8" t="s">
        <v>126</v>
      </c>
      <c r="C64" s="8" t="s">
        <v>235</v>
      </c>
      <c r="E64" s="8" t="s">
        <v>249</v>
      </c>
      <c r="G64" s="8" t="s">
        <v>256</v>
      </c>
      <c r="H64" s="8" t="str">
        <f>G64</f>
        <v>ECoal_E-CC</v>
      </c>
    </row>
    <row r="65" spans="2:8" x14ac:dyDescent="0.3">
      <c r="B65" s="8" t="s">
        <v>126</v>
      </c>
      <c r="C65" s="8" t="s">
        <v>232</v>
      </c>
      <c r="E65" s="8" t="s">
        <v>249</v>
      </c>
      <c r="F65" s="8" t="str">
        <f>F55</f>
        <v>-ELCCO2-Seq</v>
      </c>
      <c r="G65" s="8" t="s">
        <v>257</v>
      </c>
      <c r="H65" s="8" t="str">
        <f>G65</f>
        <v>ECoal_N-CC</v>
      </c>
    </row>
    <row r="66" spans="2:8" x14ac:dyDescent="0.3">
      <c r="B66" s="8" t="s">
        <v>126</v>
      </c>
      <c r="C66" s="8" t="s">
        <v>232</v>
      </c>
      <c r="E66" s="8" t="s">
        <v>249</v>
      </c>
      <c r="F66" s="8" t="str">
        <f>F52</f>
        <v>ELCCO2-Seq</v>
      </c>
      <c r="G66" s="8" t="s">
        <v>262</v>
      </c>
      <c r="H66" s="8" t="str">
        <f>G66</f>
        <v>ECoal_N-CS</v>
      </c>
    </row>
    <row r="67" spans="2:8" x14ac:dyDescent="0.3">
      <c r="B67" s="8" t="s">
        <v>126</v>
      </c>
      <c r="C67" s="8" t="s">
        <v>258</v>
      </c>
      <c r="E67" s="8" t="s">
        <v>249</v>
      </c>
      <c r="G67" s="8" t="s">
        <v>259</v>
      </c>
      <c r="H67" s="8" t="str">
        <f>G67</f>
        <v>ECoal_N-ST</v>
      </c>
    </row>
    <row r="68" spans="2:8" x14ac:dyDescent="0.3">
      <c r="B68" s="8" t="s">
        <v>126</v>
      </c>
      <c r="C68" s="8" t="s">
        <v>261</v>
      </c>
      <c r="E68" s="8" t="s">
        <v>249</v>
      </c>
      <c r="G68" s="8" t="s">
        <v>260</v>
      </c>
      <c r="H68" s="8" t="str">
        <f>G68</f>
        <v>ECoal_E-ST</v>
      </c>
    </row>
    <row r="69" spans="2:8" x14ac:dyDescent="0.3">
      <c r="B69" s="8" t="s">
        <v>266</v>
      </c>
      <c r="C69" s="8" t="s">
        <v>267</v>
      </c>
      <c r="G69" s="8" t="s">
        <v>265</v>
      </c>
      <c r="H69" s="8" t="s">
        <v>268</v>
      </c>
    </row>
    <row r="70" spans="2:8" x14ac:dyDescent="0.3">
      <c r="B70" s="8" t="s">
        <v>265</v>
      </c>
      <c r="F70" s="14" t="s">
        <v>304</v>
      </c>
      <c r="G70" s="8" t="s">
        <v>264</v>
      </c>
      <c r="H70" s="8" t="s">
        <v>269</v>
      </c>
    </row>
    <row r="71" spans="2:8" x14ac:dyDescent="0.3">
      <c r="B71" s="8" t="s">
        <v>265</v>
      </c>
      <c r="F71" s="8" t="s">
        <v>305</v>
      </c>
      <c r="G71" s="8" t="s">
        <v>264</v>
      </c>
      <c r="H71" s="8" t="s">
        <v>270</v>
      </c>
    </row>
    <row r="72" spans="2:8" x14ac:dyDescent="0.3">
      <c r="B72" s="8" t="s">
        <v>266</v>
      </c>
      <c r="E72" s="8" t="s">
        <v>14</v>
      </c>
      <c r="G72" s="8" t="s">
        <v>283</v>
      </c>
      <c r="H72" s="8" t="s">
        <v>271</v>
      </c>
    </row>
    <row r="73" spans="2:8" x14ac:dyDescent="0.3">
      <c r="B73" s="8" t="s">
        <v>283</v>
      </c>
      <c r="F73" s="8" t="str">
        <f>F70</f>
        <v>-SUPCO2-Seq</v>
      </c>
      <c r="G73" s="8" t="s">
        <v>284</v>
      </c>
      <c r="H73" s="8" t="s">
        <v>272</v>
      </c>
    </row>
    <row r="74" spans="2:8" x14ac:dyDescent="0.3">
      <c r="B74" s="8" t="s">
        <v>283</v>
      </c>
      <c r="F74" s="8" t="str">
        <f>F71</f>
        <v>SUPCO2-Seq</v>
      </c>
      <c r="G74" s="8" t="s">
        <v>285</v>
      </c>
      <c r="H74" s="8" t="s">
        <v>273</v>
      </c>
    </row>
    <row r="75" spans="2:8" x14ac:dyDescent="0.3">
      <c r="B75" s="8" t="s">
        <v>266</v>
      </c>
      <c r="E75" s="8" t="s">
        <v>42</v>
      </c>
      <c r="G75" s="8" t="s">
        <v>286</v>
      </c>
      <c r="H75" s="8" t="s">
        <v>274</v>
      </c>
    </row>
    <row r="76" spans="2:8" x14ac:dyDescent="0.3">
      <c r="B76" s="8" t="s">
        <v>286</v>
      </c>
      <c r="F76" s="8" t="str">
        <f>F70</f>
        <v>-SUPCO2-Seq</v>
      </c>
      <c r="G76" s="8" t="s">
        <v>287</v>
      </c>
      <c r="H76" s="8" t="s">
        <v>275</v>
      </c>
    </row>
    <row r="77" spans="2:8" x14ac:dyDescent="0.3">
      <c r="B77" s="8" t="s">
        <v>286</v>
      </c>
      <c r="F77" s="8" t="str">
        <f>F74</f>
        <v>SUPCO2-Seq</v>
      </c>
      <c r="G77" s="8" t="s">
        <v>288</v>
      </c>
      <c r="H77" s="8" t="s">
        <v>276</v>
      </c>
    </row>
    <row r="78" spans="2:8" x14ac:dyDescent="0.3">
      <c r="B78" s="8" t="s">
        <v>266</v>
      </c>
      <c r="C78" s="8" t="s">
        <v>299</v>
      </c>
      <c r="E78" s="8" t="s">
        <v>297</v>
      </c>
      <c r="G78" s="8" t="s">
        <v>289</v>
      </c>
      <c r="H78" s="8" t="s">
        <v>277</v>
      </c>
    </row>
    <row r="79" spans="2:8" x14ac:dyDescent="0.3">
      <c r="B79" s="8" t="s">
        <v>266</v>
      </c>
      <c r="C79" s="8" t="s">
        <v>298</v>
      </c>
      <c r="E79" s="8" t="s">
        <v>43</v>
      </c>
      <c r="G79" s="8" t="s">
        <v>290</v>
      </c>
      <c r="H79" s="8" t="s">
        <v>278</v>
      </c>
    </row>
    <row r="80" spans="2:8" x14ac:dyDescent="0.3">
      <c r="B80" s="8" t="s">
        <v>290</v>
      </c>
      <c r="F80" s="8" t="str">
        <f>F76</f>
        <v>-SUPCO2-Seq</v>
      </c>
      <c r="G80" s="8" t="s">
        <v>291</v>
      </c>
      <c r="H80" s="8" t="s">
        <v>279</v>
      </c>
    </row>
    <row r="81" spans="2:8" x14ac:dyDescent="0.3">
      <c r="B81" s="8" t="str">
        <f>B82</f>
        <v>S_H2P_GAS-All</v>
      </c>
      <c r="C81" s="8" t="s">
        <v>307</v>
      </c>
      <c r="F81" s="8" t="str">
        <f t="shared" ref="F81:G81" si="3">F82</f>
        <v>SUPCO2-Seq</v>
      </c>
      <c r="G81" s="15" t="s">
        <v>314</v>
      </c>
      <c r="H81" s="8" t="s">
        <v>306</v>
      </c>
    </row>
    <row r="82" spans="2:8" x14ac:dyDescent="0.3">
      <c r="B82" s="8" t="s">
        <v>290</v>
      </c>
      <c r="C82" s="14" t="s">
        <v>308</v>
      </c>
      <c r="F82" s="8" t="str">
        <f>F77</f>
        <v>SUPCO2-Seq</v>
      </c>
      <c r="G82" s="8" t="s">
        <v>292</v>
      </c>
      <c r="H82" s="8" t="s">
        <v>280</v>
      </c>
    </row>
    <row r="83" spans="2:8" x14ac:dyDescent="0.3">
      <c r="B83" s="8" t="s">
        <v>266</v>
      </c>
      <c r="C83" s="8" t="s">
        <v>295</v>
      </c>
      <c r="G83" s="8" t="s">
        <v>293</v>
      </c>
      <c r="H83" s="8" t="s">
        <v>281</v>
      </c>
    </row>
    <row r="84" spans="2:8" x14ac:dyDescent="0.3">
      <c r="C84" s="8" t="s">
        <v>296</v>
      </c>
      <c r="G84" s="8" t="s">
        <v>294</v>
      </c>
      <c r="H84" s="8" t="s">
        <v>282</v>
      </c>
    </row>
    <row r="85" spans="2:8" x14ac:dyDescent="0.3">
      <c r="B85" s="12" t="s">
        <v>126</v>
      </c>
      <c r="C85" s="8" t="s">
        <v>311</v>
      </c>
      <c r="E85" s="8" t="s">
        <v>249</v>
      </c>
      <c r="F85" s="8" t="s">
        <v>303</v>
      </c>
      <c r="G85" s="8" t="s">
        <v>312</v>
      </c>
      <c r="H85" s="8" t="str">
        <f t="shared" ref="H85:H86" si="4">G85</f>
        <v>ELECOA-R</v>
      </c>
    </row>
    <row r="86" spans="2:8" x14ac:dyDescent="0.3">
      <c r="B86" s="12" t="s">
        <v>126</v>
      </c>
      <c r="C86" s="8" t="s">
        <v>311</v>
      </c>
      <c r="E86" s="8" t="str">
        <f>E45</f>
        <v>ELCOIL,-ELCGAS,-ELCCOA*</v>
      </c>
      <c r="F86" s="8" t="str">
        <f>F85</f>
        <v>ELCCO2-Seq</v>
      </c>
      <c r="G86" s="8" t="s">
        <v>313</v>
      </c>
      <c r="H86" s="8" t="str">
        <f t="shared" si="4"/>
        <v>ELEGAS-R</v>
      </c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B2:G11"/>
  <sheetViews>
    <sheetView zoomScaleNormal="100" workbookViewId="0">
      <selection activeCell="C28" sqref="C28"/>
    </sheetView>
  </sheetViews>
  <sheetFormatPr defaultRowHeight="14.4" x14ac:dyDescent="0.3"/>
  <cols>
    <col min="2" max="2" width="12.21875" bestFit="1" customWidth="1"/>
    <col min="3" max="3" width="54.77734375" bestFit="1" customWidth="1"/>
    <col min="4" max="4" width="8.77734375" bestFit="1" customWidth="1"/>
    <col min="5" max="5" width="9.77734375" bestFit="1" customWidth="1"/>
    <col min="6" max="6" width="13.21875" bestFit="1" customWidth="1"/>
  </cols>
  <sheetData>
    <row r="2" spans="2:7" x14ac:dyDescent="0.3">
      <c r="B2" s="1" t="s">
        <v>9</v>
      </c>
    </row>
    <row r="3" spans="2:7" ht="15" thickBot="1" x14ac:dyDescent="0.35">
      <c r="B3" s="2" t="s">
        <v>10</v>
      </c>
      <c r="C3" s="2" t="s">
        <v>12</v>
      </c>
      <c r="D3" s="2" t="s">
        <v>13</v>
      </c>
      <c r="E3" s="2" t="s">
        <v>5</v>
      </c>
      <c r="F3" s="2" t="s">
        <v>6</v>
      </c>
      <c r="G3" s="2" t="s">
        <v>8</v>
      </c>
    </row>
    <row r="4" spans="2:7" x14ac:dyDescent="0.3">
      <c r="B4" t="s">
        <v>11</v>
      </c>
      <c r="C4" t="s">
        <v>14</v>
      </c>
      <c r="E4" t="s">
        <v>15</v>
      </c>
      <c r="F4" t="s">
        <v>16</v>
      </c>
      <c r="G4" t="s">
        <v>17</v>
      </c>
    </row>
    <row r="5" spans="2:7" x14ac:dyDescent="0.3">
      <c r="B5" t="s">
        <v>11</v>
      </c>
      <c r="C5" t="s">
        <v>42</v>
      </c>
      <c r="E5" t="s">
        <v>18</v>
      </c>
      <c r="F5" t="s">
        <v>19</v>
      </c>
      <c r="G5" t="s">
        <v>17</v>
      </c>
    </row>
    <row r="6" spans="2:7" x14ac:dyDescent="0.3">
      <c r="B6" t="s">
        <v>11</v>
      </c>
      <c r="C6" t="s">
        <v>45</v>
      </c>
      <c r="E6" t="s">
        <v>20</v>
      </c>
      <c r="F6" t="s">
        <v>21</v>
      </c>
      <c r="G6" t="s">
        <v>17</v>
      </c>
    </row>
    <row r="7" spans="2:7" x14ac:dyDescent="0.3">
      <c r="B7" t="s">
        <v>11</v>
      </c>
      <c r="C7" t="s">
        <v>43</v>
      </c>
      <c r="E7" t="s">
        <v>22</v>
      </c>
      <c r="F7" t="s">
        <v>23</v>
      </c>
      <c r="G7" t="s">
        <v>17</v>
      </c>
    </row>
    <row r="8" spans="2:7" x14ac:dyDescent="0.3">
      <c r="B8" t="s">
        <v>11</v>
      </c>
      <c r="C8" t="s">
        <v>46</v>
      </c>
      <c r="E8" t="s">
        <v>24</v>
      </c>
      <c r="F8" t="s">
        <v>25</v>
      </c>
      <c r="G8" t="s">
        <v>26</v>
      </c>
    </row>
    <row r="9" spans="2:7" x14ac:dyDescent="0.3">
      <c r="B9" t="s">
        <v>11</v>
      </c>
      <c r="C9" t="s">
        <v>60</v>
      </c>
      <c r="E9" t="s">
        <v>34</v>
      </c>
      <c r="F9" t="s">
        <v>35</v>
      </c>
      <c r="G9" t="s">
        <v>48</v>
      </c>
    </row>
    <row r="10" spans="2:7" x14ac:dyDescent="0.3">
      <c r="B10" t="s">
        <v>11</v>
      </c>
      <c r="C10" t="s">
        <v>47</v>
      </c>
      <c r="E10" t="s">
        <v>36</v>
      </c>
      <c r="F10" t="s">
        <v>37</v>
      </c>
      <c r="G10" t="s">
        <v>38</v>
      </c>
    </row>
    <row r="11" spans="2:7" x14ac:dyDescent="0.3">
      <c r="B11" t="s">
        <v>11</v>
      </c>
      <c r="C11" t="s">
        <v>300</v>
      </c>
      <c r="E11" t="s">
        <v>301</v>
      </c>
      <c r="F11" t="s">
        <v>302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B2:O58"/>
  <sheetViews>
    <sheetView topLeftCell="A7" zoomScaleNormal="100" workbookViewId="0"/>
  </sheetViews>
  <sheetFormatPr defaultRowHeight="14.4" x14ac:dyDescent="0.3"/>
  <cols>
    <col min="2" max="2" width="12.21875" bestFit="1" customWidth="1"/>
    <col min="3" max="3" width="8.44140625" bestFit="1" customWidth="1"/>
    <col min="4" max="4" width="8.77734375" bestFit="1" customWidth="1"/>
    <col min="5" max="5" width="7.5546875" bestFit="1" customWidth="1"/>
    <col min="6" max="6" width="8.5546875" bestFit="1" customWidth="1"/>
    <col min="7" max="7" width="9.77734375" bestFit="1" customWidth="1"/>
    <col min="8" max="8" width="27" bestFit="1" customWidth="1"/>
    <col min="9" max="9" width="9" bestFit="1" customWidth="1"/>
    <col min="13" max="13" width="9.21875" bestFit="1" customWidth="1"/>
    <col min="14" max="14" width="34.21875" bestFit="1" customWidth="1"/>
  </cols>
  <sheetData>
    <row r="2" spans="2:15" x14ac:dyDescent="0.3">
      <c r="B2" s="1"/>
    </row>
    <row r="3" spans="2:15" ht="15" thickBot="1" x14ac:dyDescent="0.35">
      <c r="B3" s="2" t="s">
        <v>2</v>
      </c>
      <c r="C3" s="2" t="s">
        <v>1</v>
      </c>
      <c r="D3" s="2" t="s">
        <v>4</v>
      </c>
      <c r="E3" s="2" t="s">
        <v>0</v>
      </c>
      <c r="F3" s="2" t="s">
        <v>3</v>
      </c>
      <c r="G3" s="2" t="s">
        <v>5</v>
      </c>
      <c r="H3" s="2" t="s">
        <v>6</v>
      </c>
      <c r="I3" s="2" t="s">
        <v>8</v>
      </c>
      <c r="J3" s="3" t="s">
        <v>33</v>
      </c>
      <c r="M3" t="s">
        <v>66</v>
      </c>
      <c r="N3" t="s">
        <v>67</v>
      </c>
    </row>
    <row r="4" spans="2:15" x14ac:dyDescent="0.3">
      <c r="B4" t="s">
        <v>126</v>
      </c>
      <c r="D4" t="str">
        <f>"*."&amp;M4&amp;".*"</f>
        <v>*.COU.*</v>
      </c>
      <c r="G4" t="str">
        <f>"EFD_"&amp;M4</f>
        <v>EFD_COU</v>
      </c>
      <c r="H4" t="str">
        <f>N4</f>
        <v>Coal Steam pre-  1965</v>
      </c>
      <c r="M4" t="s">
        <v>68</v>
      </c>
      <c r="N4" t="s">
        <v>69</v>
      </c>
    </row>
    <row r="5" spans="2:15" x14ac:dyDescent="0.3">
      <c r="B5" s="5" t="s">
        <v>126</v>
      </c>
      <c r="D5" s="5" t="str">
        <f t="shared" ref="D5:D35" si="0">"*."&amp;M5&amp;".*"</f>
        <v>*.CSU.*</v>
      </c>
      <c r="G5" s="5" t="str">
        <f t="shared" ref="G5:G35" si="1">"EFD_"&amp;M5</f>
        <v>EFD_CSU</v>
      </c>
      <c r="H5" s="5" t="str">
        <f t="shared" ref="H5:H35" si="2">N5</f>
        <v>Coal Steam post- 1965</v>
      </c>
      <c r="M5" t="s">
        <v>70</v>
      </c>
      <c r="N5" t="s">
        <v>71</v>
      </c>
    </row>
    <row r="6" spans="2:15" x14ac:dyDescent="0.3">
      <c r="B6" s="5" t="s">
        <v>126</v>
      </c>
      <c r="D6" s="5" t="str">
        <f t="shared" si="0"/>
        <v>*.CSC.*</v>
      </c>
      <c r="G6" s="5" t="str">
        <f t="shared" si="1"/>
        <v>EFD_CSC</v>
      </c>
      <c r="H6" s="5" t="str">
        <f t="shared" si="2"/>
        <v>Coal Steam with Scrub</v>
      </c>
      <c r="M6" t="s">
        <v>72</v>
      </c>
      <c r="N6" t="s">
        <v>132</v>
      </c>
    </row>
    <row r="7" spans="2:15" x14ac:dyDescent="0.3">
      <c r="B7" s="5" t="s">
        <v>126</v>
      </c>
      <c r="D7" s="5" t="str">
        <f t="shared" si="0"/>
        <v>*.CNC.*</v>
      </c>
      <c r="G7" s="5" t="str">
        <f t="shared" si="1"/>
        <v>EFD_CNC</v>
      </c>
      <c r="H7" s="5" t="str">
        <f t="shared" si="2"/>
        <v>New Coal Steam</v>
      </c>
      <c r="M7" t="s">
        <v>73</v>
      </c>
      <c r="N7" t="s">
        <v>74</v>
      </c>
    </row>
    <row r="8" spans="2:15" x14ac:dyDescent="0.3">
      <c r="B8" s="5" t="s">
        <v>126</v>
      </c>
      <c r="D8" s="5" t="str">
        <f t="shared" si="0"/>
        <v>*.CAV.*</v>
      </c>
      <c r="G8" s="5" t="str">
        <f t="shared" si="1"/>
        <v>EFD_CAV</v>
      </c>
      <c r="H8" s="5" t="str">
        <f t="shared" si="2"/>
        <v>New Adv Coal</v>
      </c>
      <c r="M8" t="s">
        <v>75</v>
      </c>
      <c r="N8" t="s">
        <v>127</v>
      </c>
    </row>
    <row r="9" spans="2:15" x14ac:dyDescent="0.3">
      <c r="B9" s="5" t="s">
        <v>126</v>
      </c>
      <c r="D9" s="5" t="str">
        <f t="shared" si="0"/>
        <v>*.CAS.*</v>
      </c>
      <c r="G9" s="5" t="str">
        <f t="shared" si="1"/>
        <v>EFD_CAS</v>
      </c>
      <c r="H9" s="5" t="str">
        <f t="shared" si="2"/>
        <v>New Adv Coal CCS</v>
      </c>
      <c r="M9" t="s">
        <v>76</v>
      </c>
      <c r="N9" t="s">
        <v>128</v>
      </c>
    </row>
    <row r="10" spans="2:15" x14ac:dyDescent="0.3">
      <c r="B10" s="5" t="s">
        <v>126</v>
      </c>
      <c r="D10" s="5" t="str">
        <f t="shared" si="0"/>
        <v>*.STO.*</v>
      </c>
      <c r="G10" s="5" t="str">
        <f t="shared" si="1"/>
        <v>EFD_STO</v>
      </c>
      <c r="H10" s="5" t="str">
        <f t="shared" si="2"/>
        <v>Oil Steam</v>
      </c>
      <c r="M10" t="s">
        <v>77</v>
      </c>
      <c r="N10" t="s">
        <v>78</v>
      </c>
    </row>
    <row r="11" spans="2:15" x14ac:dyDescent="0.3">
      <c r="B11" s="5" t="s">
        <v>126</v>
      </c>
      <c r="D11" s="5" t="str">
        <f t="shared" si="0"/>
        <v>*.STG.*</v>
      </c>
      <c r="G11" s="5" t="str">
        <f t="shared" si="1"/>
        <v>EFD_STG</v>
      </c>
      <c r="H11" s="5" t="str">
        <f t="shared" si="2"/>
        <v>Gas Steam</v>
      </c>
      <c r="M11" t="s">
        <v>79</v>
      </c>
      <c r="N11" t="s">
        <v>80</v>
      </c>
    </row>
    <row r="12" spans="2:15" s="4" customFormat="1" x14ac:dyDescent="0.3">
      <c r="B12" s="5" t="s">
        <v>126</v>
      </c>
      <c r="C12"/>
      <c r="D12" s="5" t="str">
        <f t="shared" si="0"/>
        <v>*.STX.*</v>
      </c>
      <c r="E12"/>
      <c r="F12"/>
      <c r="G12" s="5" t="str">
        <f t="shared" si="1"/>
        <v>EFD_STX</v>
      </c>
      <c r="H12" s="5" t="str">
        <f t="shared" si="2"/>
        <v>Oil/Gas Steam</v>
      </c>
      <c r="I12"/>
      <c r="J12"/>
      <c r="K12"/>
      <c r="L12"/>
      <c r="M12" t="s">
        <v>81</v>
      </c>
      <c r="N12" t="s">
        <v>82</v>
      </c>
      <c r="O12"/>
    </row>
    <row r="13" spans="2:15" x14ac:dyDescent="0.3">
      <c r="B13" s="5" t="s">
        <v>126</v>
      </c>
      <c r="D13" s="5" t="str">
        <f t="shared" si="0"/>
        <v>*.CTO.*</v>
      </c>
      <c r="G13" s="5" t="str">
        <f t="shared" si="1"/>
        <v>EFD_CTO</v>
      </c>
      <c r="H13" s="5" t="str">
        <f t="shared" si="2"/>
        <v>Oil Turbine</v>
      </c>
      <c r="M13" t="s">
        <v>83</v>
      </c>
      <c r="N13" t="s">
        <v>84</v>
      </c>
    </row>
    <row r="14" spans="2:15" x14ac:dyDescent="0.3">
      <c r="B14" s="5" t="s">
        <v>126</v>
      </c>
      <c r="D14" s="5" t="str">
        <f t="shared" si="0"/>
        <v>*.CTG.*</v>
      </c>
      <c r="G14" s="5" t="str">
        <f t="shared" si="1"/>
        <v>EFD_CTG</v>
      </c>
      <c r="H14" s="5" t="str">
        <f t="shared" si="2"/>
        <v>Gas Turbine</v>
      </c>
      <c r="M14" t="s">
        <v>85</v>
      </c>
      <c r="N14" t="s">
        <v>86</v>
      </c>
    </row>
    <row r="15" spans="2:15" x14ac:dyDescent="0.3">
      <c r="B15" s="5" t="s">
        <v>126</v>
      </c>
      <c r="D15" s="5" t="str">
        <f t="shared" si="0"/>
        <v>*.CTX.*</v>
      </c>
      <c r="G15" s="5" t="str">
        <f t="shared" si="1"/>
        <v>EFD_CTX</v>
      </c>
      <c r="H15" s="5" t="str">
        <f t="shared" si="2"/>
        <v>Oil/Gas Turbine</v>
      </c>
      <c r="M15" t="s">
        <v>87</v>
      </c>
      <c r="N15" t="s">
        <v>88</v>
      </c>
    </row>
    <row r="16" spans="2:15" x14ac:dyDescent="0.3">
      <c r="B16" s="5" t="s">
        <v>126</v>
      </c>
      <c r="D16" s="5" t="str">
        <f t="shared" si="0"/>
        <v>*.ACT.*</v>
      </c>
      <c r="G16" s="5" t="str">
        <f t="shared" si="1"/>
        <v>EFD_ACT</v>
      </c>
      <c r="H16" s="5" t="str">
        <f t="shared" si="2"/>
        <v>Advanced Turbine</v>
      </c>
      <c r="M16" t="s">
        <v>89</v>
      </c>
      <c r="N16" t="s">
        <v>90</v>
      </c>
    </row>
    <row r="17" spans="2:14" x14ac:dyDescent="0.3">
      <c r="B17" s="5" t="s">
        <v>126</v>
      </c>
      <c r="D17" s="5" t="str">
        <f t="shared" si="0"/>
        <v>*.CCO.*</v>
      </c>
      <c r="G17" s="5" t="str">
        <f t="shared" si="1"/>
        <v>EFD_CCO</v>
      </c>
      <c r="H17" s="5" t="str">
        <f t="shared" si="2"/>
        <v>Oil Combined Cycle</v>
      </c>
      <c r="M17" t="s">
        <v>91</v>
      </c>
      <c r="N17" t="s">
        <v>92</v>
      </c>
    </row>
    <row r="18" spans="2:14" s="4" customFormat="1" x14ac:dyDescent="0.3">
      <c r="B18" s="5" t="s">
        <v>126</v>
      </c>
      <c r="C18"/>
      <c r="D18" s="5" t="str">
        <f t="shared" si="0"/>
        <v>*.CCG.*</v>
      </c>
      <c r="E18"/>
      <c r="F18"/>
      <c r="G18" s="5" t="str">
        <f t="shared" si="1"/>
        <v>EFD_CCG</v>
      </c>
      <c r="H18" s="5" t="str">
        <f t="shared" si="2"/>
        <v>Gas Combined Cycle</v>
      </c>
      <c r="I18"/>
      <c r="J18"/>
      <c r="K18"/>
      <c r="L18"/>
      <c r="M18" t="s">
        <v>93</v>
      </c>
      <c r="N18" t="s">
        <v>94</v>
      </c>
    </row>
    <row r="19" spans="2:14" x14ac:dyDescent="0.3">
      <c r="B19" s="5" t="s">
        <v>126</v>
      </c>
      <c r="D19" s="5" t="str">
        <f t="shared" si="0"/>
        <v>*.CCX.*</v>
      </c>
      <c r="G19" s="5" t="str">
        <f t="shared" si="1"/>
        <v>EFD_CCX</v>
      </c>
      <c r="H19" s="5" t="str">
        <f t="shared" si="2"/>
        <v>Oil/Gas CC</v>
      </c>
      <c r="M19" t="s">
        <v>95</v>
      </c>
      <c r="N19" t="s">
        <v>131</v>
      </c>
    </row>
    <row r="20" spans="2:14" x14ac:dyDescent="0.3">
      <c r="B20" s="5" t="s">
        <v>126</v>
      </c>
      <c r="D20" s="5" t="str">
        <f t="shared" si="0"/>
        <v>*.ACC.*</v>
      </c>
      <c r="G20" s="5" t="str">
        <f t="shared" si="1"/>
        <v>EFD_ACC</v>
      </c>
      <c r="H20" s="5" t="str">
        <f t="shared" si="2"/>
        <v>Adv Combined Cycle</v>
      </c>
      <c r="M20" t="s">
        <v>96</v>
      </c>
      <c r="N20" t="s">
        <v>129</v>
      </c>
    </row>
    <row r="21" spans="2:14" x14ac:dyDescent="0.3">
      <c r="B21" s="5" t="s">
        <v>126</v>
      </c>
      <c r="D21" s="5" t="str">
        <f t="shared" si="0"/>
        <v>*.ACS.*</v>
      </c>
      <c r="G21" s="5" t="str">
        <f t="shared" si="1"/>
        <v>EFD_ACS</v>
      </c>
      <c r="H21" s="5" t="str">
        <f t="shared" si="2"/>
        <v>Adv. CC CCS</v>
      </c>
      <c r="M21" t="s">
        <v>97</v>
      </c>
      <c r="N21" t="s">
        <v>130</v>
      </c>
    </row>
    <row r="22" spans="2:14" s="4" customFormat="1" x14ac:dyDescent="0.3">
      <c r="B22" s="5" t="s">
        <v>126</v>
      </c>
      <c r="C22"/>
      <c r="D22" s="5" t="str">
        <f t="shared" si="0"/>
        <v>*.FCG.*</v>
      </c>
      <c r="E22"/>
      <c r="F22"/>
      <c r="G22" s="5" t="str">
        <f t="shared" si="1"/>
        <v>EFD_FCG</v>
      </c>
      <c r="H22" s="5" t="str">
        <f t="shared" si="2"/>
        <v>Fuel Cell</v>
      </c>
      <c r="I22"/>
      <c r="J22"/>
      <c r="K22"/>
      <c r="L22"/>
      <c r="M22" t="s">
        <v>98</v>
      </c>
      <c r="N22" t="s">
        <v>99</v>
      </c>
    </row>
    <row r="23" spans="2:14" x14ac:dyDescent="0.3">
      <c r="B23" s="5" t="s">
        <v>126</v>
      </c>
      <c r="D23" s="5" t="str">
        <f t="shared" si="0"/>
        <v>*.CNU.*</v>
      </c>
      <c r="G23" s="5" t="str">
        <f t="shared" si="1"/>
        <v>EFD_CNU</v>
      </c>
      <c r="H23" s="5" t="str">
        <f t="shared" si="2"/>
        <v>Conventional Nuclear</v>
      </c>
      <c r="M23" t="s">
        <v>100</v>
      </c>
      <c r="N23" t="s">
        <v>101</v>
      </c>
    </row>
    <row r="24" spans="2:14" x14ac:dyDescent="0.3">
      <c r="B24" s="5" t="s">
        <v>126</v>
      </c>
      <c r="D24" s="5" t="str">
        <f t="shared" si="0"/>
        <v>*.ANC.*</v>
      </c>
      <c r="G24" s="5" t="str">
        <f t="shared" si="1"/>
        <v>EFD_ANC</v>
      </c>
      <c r="H24" s="5" t="str">
        <f t="shared" si="2"/>
        <v>Advanced Nuclear</v>
      </c>
      <c r="M24" t="s">
        <v>102</v>
      </c>
      <c r="N24" t="s">
        <v>103</v>
      </c>
    </row>
    <row r="25" spans="2:14" x14ac:dyDescent="0.3">
      <c r="B25" s="5" t="s">
        <v>126</v>
      </c>
      <c r="D25" s="5" t="str">
        <f t="shared" si="0"/>
        <v>*.BMS.*</v>
      </c>
      <c r="G25" s="5" t="str">
        <f t="shared" si="1"/>
        <v>EFD_BMS</v>
      </c>
      <c r="H25" s="5" t="str">
        <f t="shared" si="2"/>
        <v>Wood/Biomass</v>
      </c>
      <c r="M25" t="s">
        <v>104</v>
      </c>
      <c r="N25" t="s">
        <v>105</v>
      </c>
    </row>
    <row r="26" spans="2:14" x14ac:dyDescent="0.3">
      <c r="B26" s="5" t="s">
        <v>126</v>
      </c>
      <c r="D26" s="5" t="str">
        <f t="shared" si="0"/>
        <v>*.GTH.*</v>
      </c>
      <c r="G26" s="5" t="str">
        <f t="shared" si="1"/>
        <v>EFD_GTH</v>
      </c>
      <c r="H26" s="5" t="str">
        <f t="shared" si="2"/>
        <v>Geothermal</v>
      </c>
      <c r="M26" t="s">
        <v>106</v>
      </c>
      <c r="N26" t="s">
        <v>107</v>
      </c>
    </row>
    <row r="27" spans="2:14" x14ac:dyDescent="0.3">
      <c r="B27" s="5" t="s">
        <v>126</v>
      </c>
      <c r="D27" s="5" t="str">
        <f t="shared" si="0"/>
        <v>*.MSW.*</v>
      </c>
      <c r="G27" s="5" t="str">
        <f t="shared" si="1"/>
        <v>EFD_MSW</v>
      </c>
      <c r="H27" s="5" t="str">
        <f t="shared" si="2"/>
        <v>Municipal Solid Waste</v>
      </c>
      <c r="M27" t="s">
        <v>108</v>
      </c>
      <c r="N27" t="s">
        <v>109</v>
      </c>
    </row>
    <row r="28" spans="2:14" x14ac:dyDescent="0.3">
      <c r="B28" s="5" t="s">
        <v>126</v>
      </c>
      <c r="D28" s="5" t="str">
        <f t="shared" si="0"/>
        <v>*.HYC.*</v>
      </c>
      <c r="G28" s="5" t="str">
        <f t="shared" si="1"/>
        <v>EFD_HYC</v>
      </c>
      <c r="H28" s="5" t="str">
        <f t="shared" si="2"/>
        <v>Conventional Hydroelectric</v>
      </c>
      <c r="M28" t="s">
        <v>110</v>
      </c>
      <c r="N28" t="s">
        <v>111</v>
      </c>
    </row>
    <row r="29" spans="2:14" x14ac:dyDescent="0.3">
      <c r="B29" s="5" t="s">
        <v>126</v>
      </c>
      <c r="D29" s="5" t="str">
        <f t="shared" si="0"/>
        <v>*.HYR.*</v>
      </c>
      <c r="G29" s="5" t="str">
        <f t="shared" si="1"/>
        <v>EFD_HYR</v>
      </c>
      <c r="H29" s="5" t="str">
        <f t="shared" si="2"/>
        <v>Reversible Hydroelectric</v>
      </c>
      <c r="M29" t="s">
        <v>112</v>
      </c>
      <c r="N29" t="s">
        <v>113</v>
      </c>
    </row>
    <row r="30" spans="2:14" x14ac:dyDescent="0.3">
      <c r="B30" s="5" t="s">
        <v>126</v>
      </c>
      <c r="D30" s="5" t="str">
        <f t="shared" si="0"/>
        <v>*.WND.*</v>
      </c>
      <c r="G30" s="5" t="str">
        <f t="shared" si="1"/>
        <v>EFD_WND</v>
      </c>
      <c r="H30" s="5" t="str">
        <f t="shared" si="2"/>
        <v>Wind</v>
      </c>
      <c r="M30" t="s">
        <v>114</v>
      </c>
      <c r="N30" t="s">
        <v>115</v>
      </c>
    </row>
    <row r="31" spans="2:14" x14ac:dyDescent="0.3">
      <c r="B31" s="5" t="s">
        <v>126</v>
      </c>
      <c r="D31" s="5" t="str">
        <f t="shared" si="0"/>
        <v>*.WFS.*</v>
      </c>
      <c r="G31" s="5" t="str">
        <f t="shared" si="1"/>
        <v>EFD_WFS</v>
      </c>
      <c r="H31" s="5" t="str">
        <f t="shared" si="2"/>
        <v>Wind  OffShore</v>
      </c>
      <c r="M31" t="s">
        <v>116</v>
      </c>
      <c r="N31" t="s">
        <v>117</v>
      </c>
    </row>
    <row r="32" spans="2:14" x14ac:dyDescent="0.3">
      <c r="B32" s="5" t="s">
        <v>126</v>
      </c>
      <c r="D32" s="5" t="str">
        <f t="shared" si="0"/>
        <v>*.STH.*</v>
      </c>
      <c r="G32" s="5" t="str">
        <f t="shared" si="1"/>
        <v>EFD_STH</v>
      </c>
      <c r="H32" s="5" t="str">
        <f t="shared" si="2"/>
        <v>Solar Thermal</v>
      </c>
      <c r="M32" t="s">
        <v>118</v>
      </c>
      <c r="N32" t="s">
        <v>119</v>
      </c>
    </row>
    <row r="33" spans="2:14" x14ac:dyDescent="0.3">
      <c r="B33" s="5" t="s">
        <v>126</v>
      </c>
      <c r="D33" s="5" t="str">
        <f t="shared" si="0"/>
        <v>*.SPV.*</v>
      </c>
      <c r="G33" s="5" t="str">
        <f t="shared" si="1"/>
        <v>EFD_SPV</v>
      </c>
      <c r="H33" s="5" t="str">
        <f t="shared" si="2"/>
        <v>Solar Photovoltaic</v>
      </c>
      <c r="M33" t="s">
        <v>120</v>
      </c>
      <c r="N33" t="s">
        <v>121</v>
      </c>
    </row>
    <row r="34" spans="2:14" x14ac:dyDescent="0.3">
      <c r="B34" s="5" t="s">
        <v>126</v>
      </c>
      <c r="D34" s="5" t="str">
        <f t="shared" si="0"/>
        <v>*.DGB.*</v>
      </c>
      <c r="G34" s="5" t="str">
        <f t="shared" si="1"/>
        <v>EFD_DGB</v>
      </c>
      <c r="H34" s="5" t="str">
        <f t="shared" si="2"/>
        <v>Distributed Generation-Base</v>
      </c>
      <c r="M34" t="s">
        <v>122</v>
      </c>
      <c r="N34" t="s">
        <v>123</v>
      </c>
    </row>
    <row r="35" spans="2:14" x14ac:dyDescent="0.3">
      <c r="B35" s="5" t="s">
        <v>126</v>
      </c>
      <c r="D35" s="5" t="str">
        <f t="shared" si="0"/>
        <v>*.DGP.*</v>
      </c>
      <c r="G35" s="5" t="str">
        <f t="shared" si="1"/>
        <v>EFD_DGP</v>
      </c>
      <c r="H35" s="5" t="str">
        <f t="shared" si="2"/>
        <v>Distributed Generation-Peak</v>
      </c>
      <c r="M35" t="s">
        <v>124</v>
      </c>
      <c r="N35" t="s">
        <v>125</v>
      </c>
    </row>
    <row r="37" spans="2:14" s="4" customFormat="1" x14ac:dyDescent="0.3">
      <c r="B37"/>
      <c r="C37"/>
      <c r="D37"/>
      <c r="E37"/>
      <c r="F37"/>
      <c r="G37"/>
      <c r="H37"/>
      <c r="I37"/>
      <c r="J37"/>
      <c r="K37"/>
      <c r="L37"/>
      <c r="M37"/>
      <c r="N37"/>
    </row>
    <row r="44" spans="2:14" s="4" customFormat="1" x14ac:dyDescent="0.3">
      <c r="B44"/>
      <c r="C44"/>
      <c r="D44"/>
      <c r="E44"/>
      <c r="F44"/>
      <c r="G44"/>
      <c r="H44"/>
      <c r="I44"/>
      <c r="J44"/>
      <c r="K44"/>
      <c r="L44"/>
      <c r="M44"/>
      <c r="N44"/>
    </row>
    <row r="48" spans="2:14" s="4" customFormat="1" x14ac:dyDescent="0.3">
      <c r="B48"/>
      <c r="C48"/>
      <c r="D48"/>
      <c r="E48"/>
      <c r="F48"/>
      <c r="G48"/>
      <c r="H48"/>
      <c r="I48"/>
      <c r="J48"/>
      <c r="K48"/>
      <c r="L48"/>
      <c r="M48"/>
      <c r="N48"/>
    </row>
    <row r="51" spans="2:14" s="4" customFormat="1" x14ac:dyDescent="0.3">
      <c r="B51"/>
      <c r="C51"/>
      <c r="D51"/>
      <c r="E51"/>
      <c r="F51"/>
      <c r="G51"/>
      <c r="H51"/>
      <c r="I51"/>
      <c r="J51"/>
      <c r="K51"/>
      <c r="L51"/>
      <c r="M51"/>
      <c r="N51"/>
    </row>
    <row r="58" spans="2:14" s="4" customFormat="1" x14ac:dyDescent="0.3">
      <c r="B58"/>
      <c r="C58"/>
      <c r="D58"/>
      <c r="E58"/>
      <c r="F58"/>
      <c r="G58"/>
      <c r="H58"/>
      <c r="I58"/>
      <c r="J58"/>
      <c r="K58"/>
      <c r="L58"/>
      <c r="M58"/>
      <c r="N5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B2:J3"/>
  <sheetViews>
    <sheetView zoomScaleNormal="100" workbookViewId="0"/>
  </sheetViews>
  <sheetFormatPr defaultRowHeight="14.4" x14ac:dyDescent="0.3"/>
  <sheetData>
    <row r="2" spans="2:10" x14ac:dyDescent="0.3">
      <c r="B2" s="1" t="s">
        <v>7</v>
      </c>
    </row>
    <row r="3" spans="2:10" ht="15" thickBot="1" x14ac:dyDescent="0.35">
      <c r="B3" s="2" t="s">
        <v>2</v>
      </c>
      <c r="C3" s="2" t="s">
        <v>1</v>
      </c>
      <c r="D3" s="2" t="s">
        <v>4</v>
      </c>
      <c r="E3" s="2" t="s">
        <v>0</v>
      </c>
      <c r="F3" s="2" t="s">
        <v>3</v>
      </c>
      <c r="G3" s="2" t="s">
        <v>5</v>
      </c>
      <c r="H3" s="2" t="s">
        <v>6</v>
      </c>
      <c r="I3" s="3" t="s">
        <v>33</v>
      </c>
      <c r="J3" s="2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J8"/>
  <sheetViews>
    <sheetView workbookViewId="0"/>
  </sheetViews>
  <sheetFormatPr defaultColWidth="9.21875" defaultRowHeight="14.4" x14ac:dyDescent="0.3"/>
  <cols>
    <col min="1" max="2" width="9.21875" style="6"/>
    <col min="3" max="3" width="12" style="6" bestFit="1" customWidth="1"/>
    <col min="4" max="4" width="8.21875" style="6" bestFit="1" customWidth="1"/>
    <col min="5" max="5" width="7.5546875" style="6" bestFit="1" customWidth="1"/>
    <col min="6" max="6" width="8.44140625" style="6" bestFit="1" customWidth="1"/>
    <col min="7" max="7" width="9.21875" style="6"/>
    <col min="8" max="8" width="8.77734375" style="6" bestFit="1" customWidth="1"/>
    <col min="9" max="9" width="13.44140625" style="6" bestFit="1" customWidth="1"/>
    <col min="10" max="10" width="9.77734375" style="6" bestFit="1" customWidth="1"/>
    <col min="11" max="16384" width="9.21875" style="6"/>
  </cols>
  <sheetData>
    <row r="2" spans="2:10" x14ac:dyDescent="0.3">
      <c r="B2" s="6" t="s">
        <v>7</v>
      </c>
    </row>
    <row r="3" spans="2:10" x14ac:dyDescent="0.3">
      <c r="B3" s="6" t="s">
        <v>2</v>
      </c>
      <c r="C3" s="6" t="s">
        <v>1</v>
      </c>
      <c r="D3" s="6" t="s">
        <v>4</v>
      </c>
      <c r="E3" s="6" t="s">
        <v>0</v>
      </c>
      <c r="F3" s="6" t="s">
        <v>3</v>
      </c>
      <c r="G3" s="6" t="s">
        <v>5</v>
      </c>
      <c r="H3" s="6" t="s">
        <v>6</v>
      </c>
      <c r="I3" s="6" t="s">
        <v>33</v>
      </c>
      <c r="J3" s="6" t="s">
        <v>8</v>
      </c>
    </row>
    <row r="4" spans="2:10" x14ac:dyDescent="0.3">
      <c r="C4" s="6" t="s">
        <v>151</v>
      </c>
      <c r="G4" s="6" t="s">
        <v>148</v>
      </c>
      <c r="H4" s="6" t="str">
        <f>G4</f>
        <v>GridLev1</v>
      </c>
    </row>
    <row r="5" spans="2:10" x14ac:dyDescent="0.3">
      <c r="C5" s="6" t="s">
        <v>152</v>
      </c>
      <c r="G5" s="6" t="s">
        <v>149</v>
      </c>
      <c r="H5" s="6" t="str">
        <f>G5</f>
        <v>GridLev2</v>
      </c>
    </row>
    <row r="6" spans="2:10" x14ac:dyDescent="0.3">
      <c r="C6" s="6" t="s">
        <v>153</v>
      </c>
      <c r="G6" s="6" t="s">
        <v>150</v>
      </c>
      <c r="H6" s="6" t="str">
        <f>G6</f>
        <v>GridLev3</v>
      </c>
    </row>
    <row r="7" spans="2:10" x14ac:dyDescent="0.3">
      <c r="C7" s="8" t="s">
        <v>177</v>
      </c>
      <c r="G7" s="8" t="s">
        <v>178</v>
      </c>
      <c r="H7" s="5" t="s">
        <v>179</v>
      </c>
      <c r="J7" s="5" t="s">
        <v>183</v>
      </c>
    </row>
    <row r="8" spans="2:10" x14ac:dyDescent="0.3">
      <c r="C8" s="5" t="s">
        <v>180</v>
      </c>
      <c r="D8" s="8"/>
      <c r="E8" s="8"/>
      <c r="F8" s="8"/>
      <c r="G8" s="5" t="s">
        <v>181</v>
      </c>
      <c r="H8" s="5" t="s">
        <v>182</v>
      </c>
      <c r="J8" s="5" t="s">
        <v>184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M35"/>
  <sheetViews>
    <sheetView workbookViewId="0">
      <selection activeCell="I13" sqref="I13"/>
    </sheetView>
  </sheetViews>
  <sheetFormatPr defaultColWidth="9.21875" defaultRowHeight="14.4" x14ac:dyDescent="0.3"/>
  <cols>
    <col min="1" max="2" width="9.21875" style="6"/>
    <col min="3" max="3" width="15.77734375" style="6" bestFit="1" customWidth="1"/>
    <col min="4" max="4" width="8.21875" style="6" bestFit="1" customWidth="1"/>
    <col min="5" max="5" width="7.77734375" style="6" bestFit="1" customWidth="1"/>
    <col min="6" max="6" width="8.44140625" style="6" bestFit="1" customWidth="1"/>
    <col min="7" max="7" width="9.5546875" style="6" bestFit="1" customWidth="1"/>
    <col min="8" max="8" width="9.77734375" style="6" bestFit="1" customWidth="1"/>
    <col min="9" max="9" width="13.44140625" style="6" bestFit="1" customWidth="1"/>
    <col min="10" max="10" width="9.77734375" style="6" bestFit="1" customWidth="1"/>
    <col min="11" max="12" width="9.21875" style="6"/>
    <col min="13" max="13" width="4.21875" style="6" bestFit="1" customWidth="1"/>
    <col min="14" max="16384" width="9.21875" style="6"/>
  </cols>
  <sheetData>
    <row r="2" spans="2:13" x14ac:dyDescent="0.3">
      <c r="B2" s="6" t="s">
        <v>7</v>
      </c>
    </row>
    <row r="3" spans="2:13" x14ac:dyDescent="0.3">
      <c r="B3" s="6" t="s">
        <v>2</v>
      </c>
      <c r="C3" s="6" t="s">
        <v>1</v>
      </c>
      <c r="D3" s="6" t="s">
        <v>4</v>
      </c>
      <c r="E3" s="6" t="s">
        <v>0</v>
      </c>
      <c r="F3" s="6" t="s">
        <v>3</v>
      </c>
      <c r="G3" s="6" t="s">
        <v>5</v>
      </c>
      <c r="H3" s="6" t="s">
        <v>6</v>
      </c>
      <c r="I3" s="6" t="s">
        <v>33</v>
      </c>
      <c r="J3" s="6" t="s">
        <v>8</v>
      </c>
    </row>
    <row r="4" spans="2:13" x14ac:dyDescent="0.3">
      <c r="C4" s="6" t="str">
        <f>"*[_]"&amp;M4&amp;"[_]*"</f>
        <v>*[_]C01[_]*</v>
      </c>
      <c r="E4" s="6" t="s">
        <v>29</v>
      </c>
      <c r="G4" s="6" t="str">
        <f>"ESPV_"&amp;M4</f>
        <v>ESPV_C01</v>
      </c>
      <c r="H4" s="6" t="str">
        <f>G4</f>
        <v>ESPV_C01</v>
      </c>
      <c r="M4" s="13" t="s">
        <v>158</v>
      </c>
    </row>
    <row r="5" spans="2:13" x14ac:dyDescent="0.3">
      <c r="C5" s="6" t="str">
        <f t="shared" ref="C5:C13" si="0">"*[_]"&amp;M5&amp;"[_]*"</f>
        <v>*[_]C02[_]*</v>
      </c>
      <c r="E5" s="6" t="s">
        <v>29</v>
      </c>
      <c r="G5" s="6" t="str">
        <f t="shared" ref="G5:G13" si="1">"ESPV_"&amp;M5</f>
        <v>ESPV_C02</v>
      </c>
      <c r="H5" s="8" t="str">
        <f t="shared" ref="H5:H31" si="2">G5</f>
        <v>ESPV_C02</v>
      </c>
      <c r="M5" s="13" t="s">
        <v>159</v>
      </c>
    </row>
    <row r="6" spans="2:13" x14ac:dyDescent="0.3">
      <c r="C6" s="6" t="str">
        <f t="shared" si="0"/>
        <v>*[_]C03[_]*</v>
      </c>
      <c r="E6" s="6" t="s">
        <v>29</v>
      </c>
      <c r="G6" s="6" t="str">
        <f t="shared" si="1"/>
        <v>ESPV_C03</v>
      </c>
      <c r="H6" s="8" t="str">
        <f t="shared" si="2"/>
        <v>ESPV_C03</v>
      </c>
      <c r="M6" s="13" t="s">
        <v>160</v>
      </c>
    </row>
    <row r="7" spans="2:13" x14ac:dyDescent="0.3">
      <c r="C7" s="6" t="str">
        <f t="shared" si="0"/>
        <v>*[_]C04[_]*</v>
      </c>
      <c r="E7" s="6" t="s">
        <v>29</v>
      </c>
      <c r="G7" s="6" t="str">
        <f t="shared" si="1"/>
        <v>ESPV_C04</v>
      </c>
      <c r="H7" s="8" t="str">
        <f t="shared" si="2"/>
        <v>ESPV_C04</v>
      </c>
      <c r="M7" s="13" t="s">
        <v>161</v>
      </c>
    </row>
    <row r="8" spans="2:13" x14ac:dyDescent="0.3">
      <c r="C8" s="6" t="str">
        <f t="shared" si="0"/>
        <v>*[_]C05[_]*</v>
      </c>
      <c r="E8" s="6" t="s">
        <v>29</v>
      </c>
      <c r="G8" s="6" t="str">
        <f t="shared" si="1"/>
        <v>ESPV_C05</v>
      </c>
      <c r="H8" s="8" t="str">
        <f t="shared" si="2"/>
        <v>ESPV_C05</v>
      </c>
      <c r="M8" s="13" t="s">
        <v>162</v>
      </c>
    </row>
    <row r="9" spans="2:13" x14ac:dyDescent="0.3">
      <c r="C9" s="6" t="str">
        <f t="shared" si="0"/>
        <v>*[_]C06[_]*</v>
      </c>
      <c r="E9" s="6" t="s">
        <v>29</v>
      </c>
      <c r="G9" s="6" t="str">
        <f t="shared" si="1"/>
        <v>ESPV_C06</v>
      </c>
      <c r="H9" s="8" t="str">
        <f t="shared" si="2"/>
        <v>ESPV_C06</v>
      </c>
      <c r="M9" s="13" t="s">
        <v>163</v>
      </c>
    </row>
    <row r="10" spans="2:13" x14ac:dyDescent="0.3">
      <c r="C10" s="6" t="str">
        <f t="shared" si="0"/>
        <v>*[_]C07[_]*</v>
      </c>
      <c r="E10" s="6" t="s">
        <v>29</v>
      </c>
      <c r="G10" s="6" t="str">
        <f t="shared" si="1"/>
        <v>ESPV_C07</v>
      </c>
      <c r="H10" s="8" t="str">
        <f t="shared" si="2"/>
        <v>ESPV_C07</v>
      </c>
      <c r="M10" s="13" t="s">
        <v>164</v>
      </c>
    </row>
    <row r="11" spans="2:13" x14ac:dyDescent="0.3">
      <c r="C11" s="6" t="str">
        <f t="shared" si="0"/>
        <v>*[_]C08[_]*</v>
      </c>
      <c r="E11" s="6" t="s">
        <v>29</v>
      </c>
      <c r="G11" s="6" t="str">
        <f t="shared" si="1"/>
        <v>ESPV_C08</v>
      </c>
      <c r="H11" s="8" t="str">
        <f t="shared" si="2"/>
        <v>ESPV_C08</v>
      </c>
      <c r="M11" s="13" t="s">
        <v>165</v>
      </c>
    </row>
    <row r="12" spans="2:13" x14ac:dyDescent="0.3">
      <c r="C12" s="6" t="str">
        <f t="shared" si="0"/>
        <v>*[_]C09[_]*</v>
      </c>
      <c r="E12" s="6" t="s">
        <v>29</v>
      </c>
      <c r="G12" s="6" t="str">
        <f t="shared" si="1"/>
        <v>ESPV_C09</v>
      </c>
      <c r="H12" s="8" t="str">
        <f t="shared" si="2"/>
        <v>ESPV_C09</v>
      </c>
      <c r="M12" s="13" t="s">
        <v>166</v>
      </c>
    </row>
    <row r="13" spans="2:13" x14ac:dyDescent="0.3">
      <c r="C13" s="6" t="str">
        <f t="shared" si="0"/>
        <v>*[_]C10[_]*</v>
      </c>
      <c r="E13" s="6" t="s">
        <v>29</v>
      </c>
      <c r="G13" s="6" t="str">
        <f t="shared" si="1"/>
        <v>ESPV_C10</v>
      </c>
      <c r="H13" s="8" t="str">
        <f t="shared" si="2"/>
        <v>ESPV_C10</v>
      </c>
      <c r="M13" s="13" t="s">
        <v>167</v>
      </c>
    </row>
    <row r="14" spans="2:13" x14ac:dyDescent="0.3">
      <c r="C14" s="8" t="str">
        <f>"*WON*[_]"&amp;M14&amp;"[_]*"</f>
        <v>*WON*[_]C1[_]*</v>
      </c>
      <c r="E14" s="8" t="s">
        <v>32</v>
      </c>
      <c r="G14" s="8" t="str">
        <f>"EWON_"&amp;M14</f>
        <v>EWON_C1</v>
      </c>
      <c r="H14" s="8" t="str">
        <f t="shared" si="2"/>
        <v>EWON_C1</v>
      </c>
      <c r="M14" s="13" t="s">
        <v>168</v>
      </c>
    </row>
    <row r="15" spans="2:13" x14ac:dyDescent="0.3">
      <c r="C15" s="8" t="str">
        <f t="shared" ref="C15:C22" si="3">"*WON*[_]"&amp;M15&amp;"[_]*"</f>
        <v>*WON*[_]C2[_]*</v>
      </c>
      <c r="E15" s="8" t="s">
        <v>32</v>
      </c>
      <c r="G15" s="8" t="str">
        <f t="shared" ref="G15:G22" si="4">"EWON_"&amp;M15</f>
        <v>EWON_C2</v>
      </c>
      <c r="H15" s="8" t="str">
        <f t="shared" si="2"/>
        <v>EWON_C2</v>
      </c>
      <c r="M15" s="13" t="s">
        <v>169</v>
      </c>
    </row>
    <row r="16" spans="2:13" x14ac:dyDescent="0.3">
      <c r="C16" s="8" t="str">
        <f t="shared" si="3"/>
        <v>*WON*[_]C3[_]*</v>
      </c>
      <c r="E16" s="8" t="s">
        <v>32</v>
      </c>
      <c r="G16" s="8" t="str">
        <f t="shared" si="4"/>
        <v>EWON_C3</v>
      </c>
      <c r="H16" s="8" t="str">
        <f t="shared" si="2"/>
        <v>EWON_C3</v>
      </c>
      <c r="M16" s="13" t="s">
        <v>170</v>
      </c>
    </row>
    <row r="17" spans="3:13" x14ac:dyDescent="0.3">
      <c r="C17" s="8" t="str">
        <f t="shared" si="3"/>
        <v>*WON*[_]C4[_]*</v>
      </c>
      <c r="E17" s="8" t="s">
        <v>32</v>
      </c>
      <c r="G17" s="8" t="str">
        <f t="shared" si="4"/>
        <v>EWON_C4</v>
      </c>
      <c r="H17" s="8" t="str">
        <f t="shared" si="2"/>
        <v>EWON_C4</v>
      </c>
      <c r="M17" s="13" t="s">
        <v>171</v>
      </c>
    </row>
    <row r="18" spans="3:13" x14ac:dyDescent="0.3">
      <c r="C18" s="8" t="str">
        <f t="shared" si="3"/>
        <v>*WON*[_]C5[_]*</v>
      </c>
      <c r="E18" s="8" t="s">
        <v>32</v>
      </c>
      <c r="G18" s="8" t="str">
        <f t="shared" si="4"/>
        <v>EWON_C5</v>
      </c>
      <c r="H18" s="8" t="str">
        <f t="shared" si="2"/>
        <v>EWON_C5</v>
      </c>
      <c r="M18" s="13" t="s">
        <v>172</v>
      </c>
    </row>
    <row r="19" spans="3:13" x14ac:dyDescent="0.3">
      <c r="C19" s="8" t="str">
        <f t="shared" si="3"/>
        <v>*WON*[_]C6[_]*</v>
      </c>
      <c r="E19" s="8" t="s">
        <v>32</v>
      </c>
      <c r="G19" s="8" t="str">
        <f t="shared" si="4"/>
        <v>EWON_C6</v>
      </c>
      <c r="H19" s="8" t="str">
        <f t="shared" si="2"/>
        <v>EWON_C6</v>
      </c>
      <c r="M19" s="13" t="s">
        <v>173</v>
      </c>
    </row>
    <row r="20" spans="3:13" x14ac:dyDescent="0.3">
      <c r="C20" s="8" t="str">
        <f t="shared" si="3"/>
        <v>*WON*[_]C7[_]*</v>
      </c>
      <c r="E20" s="8" t="s">
        <v>32</v>
      </c>
      <c r="G20" s="8" t="str">
        <f t="shared" si="4"/>
        <v>EWON_C7</v>
      </c>
      <c r="H20" s="8" t="str">
        <f t="shared" si="2"/>
        <v>EWON_C7</v>
      </c>
      <c r="M20" s="13" t="s">
        <v>174</v>
      </c>
    </row>
    <row r="21" spans="3:13" x14ac:dyDescent="0.3">
      <c r="C21" s="8" t="str">
        <f t="shared" si="3"/>
        <v>*WON*[_]C8[_]*</v>
      </c>
      <c r="E21" s="8" t="s">
        <v>32</v>
      </c>
      <c r="G21" s="8" t="str">
        <f t="shared" si="4"/>
        <v>EWON_C8</v>
      </c>
      <c r="H21" s="8" t="str">
        <f t="shared" si="2"/>
        <v>EWON_C8</v>
      </c>
      <c r="M21" s="13" t="s">
        <v>175</v>
      </c>
    </row>
    <row r="22" spans="3:13" x14ac:dyDescent="0.3">
      <c r="C22" s="8" t="str">
        <f t="shared" si="3"/>
        <v>*WON*[_]C9[_]*</v>
      </c>
      <c r="E22" s="8" t="s">
        <v>32</v>
      </c>
      <c r="G22" s="8" t="str">
        <f t="shared" si="4"/>
        <v>EWON_C9</v>
      </c>
      <c r="H22" s="8" t="str">
        <f t="shared" si="2"/>
        <v>EWON_C9</v>
      </c>
      <c r="M22" s="13" t="s">
        <v>176</v>
      </c>
    </row>
    <row r="23" spans="3:13" x14ac:dyDescent="0.3">
      <c r="C23" s="8" t="str">
        <f t="shared" ref="C23:C31" si="5">"*WOF*[_]"&amp;M23&amp;"[_]*"</f>
        <v>*WOF*[_]C1[_]*</v>
      </c>
      <c r="D23" s="8"/>
      <c r="E23" s="8" t="s">
        <v>32</v>
      </c>
      <c r="F23" s="8"/>
      <c r="G23" s="8" t="str">
        <f t="shared" ref="G23:G31" si="6">"EWOF_"&amp;M23</f>
        <v>EWOF_C1</v>
      </c>
      <c r="H23" s="8" t="str">
        <f t="shared" si="2"/>
        <v>EWOF_C1</v>
      </c>
      <c r="I23" s="8"/>
      <c r="J23" s="8"/>
      <c r="K23" s="8"/>
      <c r="L23" s="8"/>
      <c r="M23" s="13" t="s">
        <v>168</v>
      </c>
    </row>
    <row r="24" spans="3:13" x14ac:dyDescent="0.3">
      <c r="C24" s="8" t="str">
        <f t="shared" si="5"/>
        <v>*WOF*[_]C2[_]*</v>
      </c>
      <c r="D24" s="8"/>
      <c r="E24" s="8" t="s">
        <v>32</v>
      </c>
      <c r="F24" s="8"/>
      <c r="G24" s="8" t="str">
        <f t="shared" si="6"/>
        <v>EWOF_C2</v>
      </c>
      <c r="H24" s="8" t="str">
        <f t="shared" si="2"/>
        <v>EWOF_C2</v>
      </c>
      <c r="I24" s="8"/>
      <c r="J24" s="8"/>
      <c r="K24" s="8"/>
      <c r="L24" s="8"/>
      <c r="M24" s="13" t="s">
        <v>169</v>
      </c>
    </row>
    <row r="25" spans="3:13" x14ac:dyDescent="0.3">
      <c r="C25" s="8" t="str">
        <f t="shared" si="5"/>
        <v>*WOF*[_]C3[_]*</v>
      </c>
      <c r="D25" s="8"/>
      <c r="E25" s="8" t="s">
        <v>32</v>
      </c>
      <c r="F25" s="8"/>
      <c r="G25" s="8" t="str">
        <f t="shared" si="6"/>
        <v>EWOF_C3</v>
      </c>
      <c r="H25" s="8" t="str">
        <f t="shared" si="2"/>
        <v>EWOF_C3</v>
      </c>
      <c r="I25" s="8"/>
      <c r="J25" s="8"/>
      <c r="K25" s="8"/>
      <c r="L25" s="8"/>
      <c r="M25" s="13" t="s">
        <v>170</v>
      </c>
    </row>
    <row r="26" spans="3:13" x14ac:dyDescent="0.3">
      <c r="C26" s="8" t="str">
        <f t="shared" si="5"/>
        <v>*WOF*[_]C4[_]*</v>
      </c>
      <c r="D26" s="8"/>
      <c r="E26" s="8" t="s">
        <v>32</v>
      </c>
      <c r="F26" s="8"/>
      <c r="G26" s="8" t="str">
        <f t="shared" si="6"/>
        <v>EWOF_C4</v>
      </c>
      <c r="H26" s="8" t="str">
        <f t="shared" si="2"/>
        <v>EWOF_C4</v>
      </c>
      <c r="I26" s="8"/>
      <c r="J26" s="8"/>
      <c r="K26" s="8"/>
      <c r="L26" s="8"/>
      <c r="M26" s="13" t="s">
        <v>171</v>
      </c>
    </row>
    <row r="27" spans="3:13" x14ac:dyDescent="0.3">
      <c r="C27" s="8" t="str">
        <f t="shared" si="5"/>
        <v>*WOF*[_]C5[_]*</v>
      </c>
      <c r="D27" s="8"/>
      <c r="E27" s="8" t="s">
        <v>32</v>
      </c>
      <c r="F27" s="8"/>
      <c r="G27" s="8" t="str">
        <f t="shared" si="6"/>
        <v>EWOF_C5</v>
      </c>
      <c r="H27" s="8" t="str">
        <f t="shared" si="2"/>
        <v>EWOF_C5</v>
      </c>
      <c r="I27" s="8"/>
      <c r="J27" s="8"/>
      <c r="K27" s="8"/>
      <c r="L27" s="8"/>
      <c r="M27" s="13" t="s">
        <v>172</v>
      </c>
    </row>
    <row r="28" spans="3:13" x14ac:dyDescent="0.3">
      <c r="C28" s="8" t="str">
        <f t="shared" si="5"/>
        <v>*WOF*[_]C6[_]*</v>
      </c>
      <c r="D28" s="8"/>
      <c r="E28" s="8" t="s">
        <v>32</v>
      </c>
      <c r="F28" s="8"/>
      <c r="G28" s="8" t="str">
        <f t="shared" si="6"/>
        <v>EWOF_C6</v>
      </c>
      <c r="H28" s="8" t="str">
        <f t="shared" si="2"/>
        <v>EWOF_C6</v>
      </c>
      <c r="I28" s="8"/>
      <c r="J28" s="8"/>
      <c r="K28" s="8"/>
      <c r="L28" s="8"/>
      <c r="M28" s="13" t="s">
        <v>173</v>
      </c>
    </row>
    <row r="29" spans="3:13" x14ac:dyDescent="0.3">
      <c r="C29" s="8" t="str">
        <f t="shared" si="5"/>
        <v>*WOF*[_]C7[_]*</v>
      </c>
      <c r="D29" s="8"/>
      <c r="E29" s="8" t="s">
        <v>32</v>
      </c>
      <c r="F29" s="8"/>
      <c r="G29" s="8" t="str">
        <f t="shared" si="6"/>
        <v>EWOF_C7</v>
      </c>
      <c r="H29" s="8" t="str">
        <f t="shared" si="2"/>
        <v>EWOF_C7</v>
      </c>
      <c r="I29" s="8"/>
      <c r="J29" s="8"/>
      <c r="K29" s="8"/>
      <c r="L29" s="8"/>
      <c r="M29" s="13" t="s">
        <v>174</v>
      </c>
    </row>
    <row r="30" spans="3:13" x14ac:dyDescent="0.3">
      <c r="C30" s="8" t="str">
        <f t="shared" si="5"/>
        <v>*WOF*[_]C8[_]*</v>
      </c>
      <c r="D30" s="8"/>
      <c r="E30" s="8" t="s">
        <v>32</v>
      </c>
      <c r="F30" s="8"/>
      <c r="G30" s="8" t="str">
        <f t="shared" si="6"/>
        <v>EWOF_C8</v>
      </c>
      <c r="H30" s="8" t="str">
        <f t="shared" si="2"/>
        <v>EWOF_C8</v>
      </c>
      <c r="I30" s="8"/>
      <c r="J30" s="8"/>
      <c r="K30" s="8"/>
      <c r="L30" s="8"/>
      <c r="M30" s="13" t="s">
        <v>175</v>
      </c>
    </row>
    <row r="31" spans="3:13" x14ac:dyDescent="0.3">
      <c r="C31" s="8" t="str">
        <f t="shared" si="5"/>
        <v>*WOF*[_]C9[_]*</v>
      </c>
      <c r="D31" s="8"/>
      <c r="E31" s="8" t="s">
        <v>32</v>
      </c>
      <c r="F31" s="8"/>
      <c r="G31" s="8" t="str">
        <f t="shared" si="6"/>
        <v>EWOF_C9</v>
      </c>
      <c r="H31" s="8" t="str">
        <f t="shared" si="2"/>
        <v>EWOF_C9</v>
      </c>
      <c r="I31" s="8"/>
      <c r="J31" s="8"/>
      <c r="K31" s="8"/>
      <c r="L31" s="8"/>
      <c r="M31" s="13" t="s">
        <v>176</v>
      </c>
    </row>
    <row r="34" spans="3:3" x14ac:dyDescent="0.3">
      <c r="C34" s="8"/>
    </row>
    <row r="35" spans="3:3" x14ac:dyDescent="0.3">
      <c r="C35" s="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J15"/>
  <sheetViews>
    <sheetView workbookViewId="0"/>
  </sheetViews>
  <sheetFormatPr defaultRowHeight="14.4" x14ac:dyDescent="0.3"/>
  <cols>
    <col min="2" max="2" width="11.5546875" bestFit="1" customWidth="1"/>
    <col min="3" max="3" width="32.21875" bestFit="1" customWidth="1"/>
    <col min="4" max="4" width="8.21875" bestFit="1" customWidth="1"/>
    <col min="5" max="5" width="14.21875" bestFit="1" customWidth="1"/>
    <col min="6" max="6" width="13.5546875" bestFit="1" customWidth="1"/>
    <col min="8" max="8" width="10.77734375" bestFit="1" customWidth="1"/>
    <col min="9" max="9" width="13.44140625" bestFit="1" customWidth="1"/>
    <col min="10" max="10" width="9.77734375" bestFit="1" customWidth="1"/>
  </cols>
  <sheetData>
    <row r="2" spans="2:10" x14ac:dyDescent="0.3">
      <c r="B2" t="s">
        <v>7</v>
      </c>
    </row>
    <row r="3" spans="2:10" x14ac:dyDescent="0.3">
      <c r="B3" t="s">
        <v>2</v>
      </c>
      <c r="C3" t="s">
        <v>1</v>
      </c>
      <c r="D3" t="s">
        <v>4</v>
      </c>
      <c r="E3" t="s">
        <v>0</v>
      </c>
      <c r="F3" t="s">
        <v>3</v>
      </c>
      <c r="G3" t="s">
        <v>5</v>
      </c>
      <c r="H3" t="s">
        <v>6</v>
      </c>
      <c r="I3" t="s">
        <v>33</v>
      </c>
      <c r="J3" t="s">
        <v>8</v>
      </c>
    </row>
    <row r="4" spans="2:10" x14ac:dyDescent="0.3">
      <c r="C4" t="s">
        <v>196</v>
      </c>
      <c r="E4" t="s">
        <v>191</v>
      </c>
      <c r="F4" s="14" t="s">
        <v>187</v>
      </c>
      <c r="G4" t="s">
        <v>185</v>
      </c>
      <c r="H4" t="s">
        <v>201</v>
      </c>
      <c r="I4" t="s">
        <v>133</v>
      </c>
      <c r="J4" t="s">
        <v>198</v>
      </c>
    </row>
    <row r="5" spans="2:10" x14ac:dyDescent="0.3">
      <c r="C5" s="5" t="s">
        <v>192</v>
      </c>
      <c r="D5" s="5"/>
      <c r="E5" s="5" t="s">
        <v>191</v>
      </c>
      <c r="F5" s="14" t="s">
        <v>187</v>
      </c>
      <c r="G5" s="5" t="s">
        <v>186</v>
      </c>
      <c r="H5" t="s">
        <v>202</v>
      </c>
    </row>
    <row r="6" spans="2:10" x14ac:dyDescent="0.3">
      <c r="C6" t="s">
        <v>197</v>
      </c>
      <c r="E6" s="5" t="s">
        <v>191</v>
      </c>
      <c r="F6" s="14" t="s">
        <v>187</v>
      </c>
      <c r="G6" t="s">
        <v>188</v>
      </c>
      <c r="H6" t="s">
        <v>203</v>
      </c>
      <c r="I6" t="s">
        <v>133</v>
      </c>
      <c r="J6" s="5" t="s">
        <v>198</v>
      </c>
    </row>
    <row r="7" spans="2:10" x14ac:dyDescent="0.3">
      <c r="C7" s="5" t="s">
        <v>193</v>
      </c>
      <c r="E7" s="5" t="s">
        <v>191</v>
      </c>
      <c r="F7" s="14" t="s">
        <v>187</v>
      </c>
      <c r="G7" t="s">
        <v>190</v>
      </c>
      <c r="H7" t="s">
        <v>204</v>
      </c>
    </row>
    <row r="8" spans="2:10" x14ac:dyDescent="0.3">
      <c r="C8" t="s">
        <v>194</v>
      </c>
      <c r="E8" s="5" t="s">
        <v>191</v>
      </c>
      <c r="F8" t="s">
        <v>61</v>
      </c>
      <c r="G8" t="s">
        <v>189</v>
      </c>
      <c r="H8" t="s">
        <v>205</v>
      </c>
    </row>
    <row r="9" spans="2:10" x14ac:dyDescent="0.3">
      <c r="C9" t="s">
        <v>199</v>
      </c>
      <c r="E9" t="s">
        <v>29</v>
      </c>
      <c r="G9" t="s">
        <v>195</v>
      </c>
      <c r="H9" t="s">
        <v>206</v>
      </c>
      <c r="J9" s="5" t="s">
        <v>198</v>
      </c>
    </row>
    <row r="10" spans="2:10" x14ac:dyDescent="0.3">
      <c r="C10" t="s">
        <v>217</v>
      </c>
      <c r="E10" t="s">
        <v>53</v>
      </c>
      <c r="F10" s="14" t="s">
        <v>187</v>
      </c>
      <c r="G10" t="s">
        <v>200</v>
      </c>
      <c r="H10" t="s">
        <v>208</v>
      </c>
      <c r="I10" t="s">
        <v>133</v>
      </c>
      <c r="J10" s="5" t="s">
        <v>198</v>
      </c>
    </row>
    <row r="11" spans="2:10" x14ac:dyDescent="0.3">
      <c r="C11" t="s">
        <v>218</v>
      </c>
      <c r="E11" s="5" t="s">
        <v>53</v>
      </c>
      <c r="F11" s="14" t="s">
        <v>187</v>
      </c>
      <c r="G11" t="s">
        <v>207</v>
      </c>
      <c r="H11" t="s">
        <v>209</v>
      </c>
    </row>
    <row r="12" spans="2:10" x14ac:dyDescent="0.3">
      <c r="C12" s="5" t="s">
        <v>218</v>
      </c>
      <c r="E12" s="5" t="s">
        <v>53</v>
      </c>
      <c r="F12" s="5" t="s">
        <v>61</v>
      </c>
      <c r="G12" t="s">
        <v>210</v>
      </c>
      <c r="H12" s="5" t="s">
        <v>211</v>
      </c>
    </row>
    <row r="13" spans="2:10" x14ac:dyDescent="0.3">
      <c r="C13" t="s">
        <v>223</v>
      </c>
      <c r="E13" s="5" t="s">
        <v>32</v>
      </c>
      <c r="G13" t="s">
        <v>212</v>
      </c>
      <c r="H13" t="s">
        <v>214</v>
      </c>
      <c r="J13" s="5" t="s">
        <v>198</v>
      </c>
    </row>
    <row r="14" spans="2:10" x14ac:dyDescent="0.3">
      <c r="C14" t="s">
        <v>222</v>
      </c>
      <c r="E14" t="s">
        <v>32</v>
      </c>
      <c r="G14" t="s">
        <v>213</v>
      </c>
      <c r="H14" t="s">
        <v>215</v>
      </c>
      <c r="J14" s="5" t="s">
        <v>198</v>
      </c>
    </row>
    <row r="15" spans="2:10" x14ac:dyDescent="0.3">
      <c r="C15" t="s">
        <v>216</v>
      </c>
      <c r="E15" t="s">
        <v>219</v>
      </c>
      <c r="G15" t="s">
        <v>220</v>
      </c>
      <c r="H15" t="s">
        <v>221</v>
      </c>
      <c r="J15" s="5" t="s">
        <v>198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7FEFD5A-026A-4911-86F5-86F952FA3A05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TechSup</vt:lpstr>
      <vt:lpstr>Comm</vt:lpstr>
      <vt:lpstr>EFD classification</vt:lpstr>
      <vt:lpstr>TechTrade</vt:lpstr>
      <vt:lpstr>Grids</vt:lpstr>
      <vt:lpstr>SolWin</vt:lpstr>
      <vt:lpstr>ETL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Mahmoud Mobir</cp:lastModifiedBy>
  <dcterms:created xsi:type="dcterms:W3CDTF">2009-05-27T15:40:55Z</dcterms:created>
  <dcterms:modified xsi:type="dcterms:W3CDTF">2022-01-05T15:34:08Z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23244202136993</vt:r8>
  </property>
</Properties>
</file>